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vent counts" sheetId="2" state="visible" r:id="rId4"/>
    <sheet name="Per-trial" sheetId="3" state="visible" r:id="rId5"/>
    <sheet name="Drift events" sheetId="4" state="visible" r:id="rId6"/>
    <sheet name="Operator timeline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<sst xmlns="http://schemas.openxmlformats.org/spreadsheetml/2006/main" count="283" uniqueCount="160">
  <si>
    <t xml:space="preserve">Run 3 (100 trials) — Log analysis summary</t>
  </si>
  <si>
    <t xml:space="preserve">Session ID: 20260520_001724_6354</t>
  </si>
  <si>
    <t xml:space="preserve">Started (UTC): 2026-05-20T05:17:24.726Z</t>
  </si>
  <si>
    <t xml:space="preserve">Schema: Phase 5+ (session_paused/_resumed present)</t>
  </si>
  <si>
    <t xml:space="preserve">Total events: 343 | Total kinematics files: 99 (trials 1–99)</t>
  </si>
  <si>
    <t xml:space="preserve">Session metrics</t>
  </si>
  <si>
    <t xml:space="preserve">Metric</t>
  </si>
  <si>
    <t xml:space="preserve">Value</t>
  </si>
  <si>
    <t xml:space="preserve">Notes</t>
  </si>
  <si>
    <t xml:space="preserve">Session duration</t>
  </si>
  <si>
    <t xml:space="preserve">28.07 min</t>
  </si>
  <si>
    <t xml:space="preserve">session_start to last event (session_paused)</t>
  </si>
  <si>
    <t xml:space="preserve">Clean session_end?</t>
  </si>
  <si>
    <t xml:space="preserve">NO</t>
  </si>
  <si>
    <t xml:space="preserve">Ended via session_paused — no session_end row. Subject likely removed headset rather than quitting</t>
  </si>
  <si>
    <t xml:space="preserve">trial_loaded events</t>
  </si>
  <si>
    <t xml:space="preserve">100</t>
  </si>
  <si>
    <t xml:space="preserve">Trial counter ran 1→100</t>
  </si>
  <si>
    <t xml:space="preserve">perturbation_fired events</t>
  </si>
  <si>
    <t xml:space="preserve">Includes 1 pre-load walk at trial_number=0 (warmup before first trial_loaded)</t>
  </si>
  <si>
    <t xml:space="preserve">obstacle_reset events</t>
  </si>
  <si>
    <t xml:space="preserve">One per perturbation (no missing resets)</t>
  </si>
  <si>
    <t xml:space="preserve">trigger_fired_inactive events</t>
  </si>
  <si>
    <t xml:space="preserve">0</t>
  </si>
  <si>
    <t xml:space="preserve">Every trial in this run was an ACTIVE perturbation trial — no null trials</t>
  </si>
  <si>
    <t xml:space="preserve">Kinematics files</t>
  </si>
  <si>
    <t xml:space="preserve">99 (trials 1–99)</t>
  </si>
  <si>
    <t xml:space="preserve">Trial 100 was loaded ~2.5s before session pause; no walk occurred → no kinematics flushed (matches §5.6 async-flush behavior)</t>
  </si>
  <si>
    <t xml:space="preserve">Sample rate</t>
  </si>
  <si>
    <t xml:space="preserve">50.1 Hz (median, all 99 files)</t>
  </si>
  <si>
    <t xml:space="preserve">Matches FixedUpdate at 20 ms</t>
  </si>
  <si>
    <t xml:space="preserve">Compromised trials (strict)</t>
  </si>
  <si>
    <t xml:space="preserve">Zero anchor_major_drift, obstacle_pose_jumped, anchor_localized_lost, anchor_refreshed events</t>
  </si>
  <si>
    <t xml:space="preserve">Drift-warning trials</t>
  </si>
  <si>
    <t xml:space="preserve">14 unique trials (17 events)</t>
  </si>
  <si>
    <t xml:space="preserve">All in the 2.00–2.30 cm range — never reached the 5 cm major threshold</t>
  </si>
  <si>
    <t xml:space="preserve">Operator measurement pauses</t>
  </si>
  <si>
    <t xml:space="preserve">8</t>
  </si>
  <si>
    <t xml:space="preserve">Intentional disarm/arm cycles at trials 8, 18, 40, 50, 60, 70, 80, 90 (user noted: physical drift measurements)</t>
  </si>
  <si>
    <t xml:space="preserve">Walk-time statistics (excludes 8 measurement-pause trials)</t>
  </si>
  <si>
    <t xml:space="preserve">Statistic</t>
  </si>
  <si>
    <t xml:space="preserve">Value (s)</t>
  </si>
  <si>
    <t xml:space="preserve">Walk time (s) = perturbation → reset latency</t>
  </si>
  <si>
    <t xml:space="preserve">Mean</t>
  </si>
  <si>
    <t xml:space="preserve">2.85</t>
  </si>
  <si>
    <t xml:space="preserve">Median</t>
  </si>
  <si>
    <t xml:space="preserve">2.75</t>
  </si>
  <si>
    <t xml:space="preserve">Std</t>
  </si>
  <si>
    <t xml:space="preserve">0.61</t>
  </si>
  <si>
    <t xml:space="preserve">Min</t>
  </si>
  <si>
    <t xml:space="preserve">2.02</t>
  </si>
  <si>
    <t xml:space="preserve">Max</t>
  </si>
  <si>
    <t xml:space="preserve">6.70</t>
  </si>
  <si>
    <t xml:space="preserve">Trial 4 outlier</t>
  </si>
  <si>
    <t xml:space="preserve">Mean — 0.35m perturbations</t>
  </si>
  <si>
    <t xml:space="preserve">2.58</t>
  </si>
  <si>
    <t xml:space="preserve">n=48</t>
  </si>
  <si>
    <t xml:space="preserve">Mean — 0.70m perturbations</t>
  </si>
  <si>
    <t xml:space="preserve">3.16</t>
  </si>
  <si>
    <t xml:space="preserve">n=43</t>
  </si>
  <si>
    <t xml:space="preserve">Bottom line</t>
  </si>
  <si>
    <t xml:space="preserve">Run 3 is a clean, usable dataset of 99 complete trials. The Meta XR anchor never reached the 5cm major-drift threshold; all 17 drift warnings were sub-2.3 cm. No frame-level obstacle pose jumps, no localization losses, no anchor refreshes. The intentional measurement-pause trials (8, 18, 40, 50, 60, 70, 80, 90) are clearly identifiable by trial_duration. The 4–5× difference in walk time between 0.35m and 0.70m perturbations shows the subject response varies meaningfully with perturbation magnitude.</t>
  </si>
  <si>
    <t xml:space="preserve">Event-type counts</t>
  </si>
  <si>
    <t xml:space="preserve">event_type</t>
  </si>
  <si>
    <t xml:space="preserve">count</t>
  </si>
  <si>
    <t xml:space="preserve">perturbation_fired</t>
  </si>
  <si>
    <t xml:space="preserve">100 perturbations (1 warmup at trial_number=0 + trials 1–99)</t>
  </si>
  <si>
    <t xml:space="preserve">obstacle_reset</t>
  </si>
  <si>
    <t xml:space="preserve">100 resets — one per perturbation</t>
  </si>
  <si>
    <t xml:space="preserve">trial_loaded</t>
  </si>
  <si>
    <t xml:space="preserve">100 trials loaded (1–100); trial 100 had no walk</t>
  </si>
  <si>
    <t xml:space="preserve">anchor_drift_warning</t>
  </si>
  <si>
    <t xml:space="preserve">17× — all 2.00–2.30 cm; clustered after trial 70</t>
  </si>
  <si>
    <t xml:space="preserve">armed</t>
  </si>
  <si>
    <t xml:space="preserve">Operator armed the trigger</t>
  </si>
  <si>
    <t xml:space="preserve">disarmed</t>
  </si>
  <si>
    <t xml:space="preserve">Operator disarmed (8 mid-session pauses + 1 final = 9 total)</t>
  </si>
  <si>
    <t xml:space="preserve">session_paused</t>
  </si>
  <si>
    <t xml:space="preserve">OS-level pause (2 here: at 2s scene-load, and at 28min when session ended)</t>
  </si>
  <si>
    <t xml:space="preserve">session_resumed</t>
  </si>
  <si>
    <t xml:space="preserve">OS-level resume</t>
  </si>
  <si>
    <t xml:space="preserve">session_start</t>
  </si>
  <si>
    <t xml:space="preserve">Always 1 — first row</t>
  </si>
  <si>
    <t xml:space="preserve">anchor_localized_gained</t>
  </si>
  <si>
    <t xml:space="preserve">First localization @ trial 0</t>
  </si>
  <si>
    <t xml:space="preserve">anchor_created</t>
  </si>
  <si>
    <t xml:space="preserve">Obstacle Anchor Holder created at trial 0</t>
  </si>
  <si>
    <t xml:space="preserve">sequence_on</t>
  </si>
  <si>
    <t xml:space="preserve">Trial advance enabled (once at start)</t>
  </si>
  <si>
    <t xml:space="preserve">auto_reset_on</t>
  </si>
  <si>
    <t xml:space="preserve">Auto-reset enabled (once at start)</t>
  </si>
  <si>
    <t xml:space="preserve">TOTAL</t>
  </si>
  <si>
    <t xml:space="preserve">trial</t>
  </si>
  <si>
    <t xml:space="preserve">perturbation_distance</t>
  </si>
  <si>
    <t xml:space="preserve">towards_user</t>
  </si>
  <si>
    <t xml:space="preserve">walk_ms</t>
  </si>
  <si>
    <t xml:space="preserve">trial_ms</t>
  </si>
  <si>
    <t xml:space="preserve">n_samples</t>
  </si>
  <si>
    <t xml:space="preserve">duration_s</t>
  </si>
  <si>
    <t xml:space="preserve">sample_rate_hz</t>
  </si>
  <si>
    <t xml:space="preserve">head_path_m</t>
  </si>
  <si>
    <t xml:space="preserve">head_disp_m</t>
  </si>
  <si>
    <t xml:space="preserve">head_xz_disp_m</t>
  </si>
  <si>
    <t xml:space="preserve">head_mean_speed_mps</t>
  </si>
  <si>
    <t xml:space="preserve">head_peak_speed_mps</t>
  </si>
  <si>
    <t xml:space="preserve">head_dist_to_obs_at_pert_xz_m</t>
  </si>
  <si>
    <t xml:space="preserve">head_speed_at_pert_mps</t>
  </si>
  <si>
    <t xml:space="preserve">obs_jump_m</t>
  </si>
  <si>
    <t xml:space="preserve">obs_max_inter_sample_m</t>
  </si>
  <si>
    <t xml:space="preserve">n_obs_jumps_over_5cm</t>
  </si>
  <si>
    <t xml:space="preserve">measurement_pause_after</t>
  </si>
  <si>
    <t xml:space="preserve">drift_warning</t>
  </si>
  <si>
    <t xml:space="preserve">n_drift_warnings</t>
  </si>
  <si>
    <t xml:space="preserve">compromised</t>
  </si>
  <si>
    <t xml:space="preserve">notes</t>
  </si>
  <si>
    <t xml:space="preserve">PRE-FIRST-LOAD: no kinematics file</t>
  </si>
  <si>
    <t xml:space="preserve">clean</t>
  </si>
  <si>
    <t xml:space="preserve">Slow walk (&gt;5s)</t>
  </si>
  <si>
    <t xml:space="preserve">Operator measurement pause AFTER this trial (intentional)</t>
  </si>
  <si>
    <t xml:space="preserve">1× drift warning (2cm latched)</t>
  </si>
  <si>
    <t xml:space="preserve">Operator measurement pause AFTER this trial (intentional); 1× drift warning (2cm latched)</t>
  </si>
  <si>
    <t xml:space="preserve">2× drift warning (2cm latched)</t>
  </si>
  <si>
    <t xml:space="preserve">Operator measurement pause AFTER this trial (intentional); 3× drift warning (2cm latched)</t>
  </si>
  <si>
    <t xml:space="preserve">LOADED BUT NO WALK (session paused before perturbation); 1× drift warning (2cm latched)</t>
  </si>
  <si>
    <t xml:space="preserve">MEAN</t>
  </si>
  <si>
    <t xml:space="preserve">MEDIAN</t>
  </si>
  <si>
    <t xml:space="preserve">session_time_ms</t>
  </si>
  <si>
    <t xml:space="preserve">trial_number</t>
  </si>
  <si>
    <t xml:space="preserve">drift_m</t>
  </si>
  <si>
    <t xml:space="preserve">drift_cm</t>
  </si>
  <si>
    <t xml:space="preserve">current_position</t>
  </si>
  <si>
    <t xml:space="preserve">session_time_min</t>
  </si>
  <si>
    <t xml:space="preserve">0.0200;-0.0006;0.0241</t>
  </si>
  <si>
    <t xml:space="preserve">0.0231;-0.0060;0.0240</t>
  </si>
  <si>
    <t xml:space="preserve">0.0138;-0.0080;0.0291</t>
  </si>
  <si>
    <t xml:space="preserve">0.0140;-0.0094;0.0285</t>
  </si>
  <si>
    <t xml:space="preserve">0.0123;-0.0111;0.0291</t>
  </si>
  <si>
    <t xml:space="preserve">0.0135;-0.0084;0.0286</t>
  </si>
  <si>
    <t xml:space="preserve">0.0079;-0.0112;0.0276</t>
  </si>
  <si>
    <t xml:space="preserve">0.0056;-0.0148;0.0298</t>
  </si>
  <si>
    <t xml:space="preserve">0.0088;-0.0117;0.0289</t>
  </si>
  <si>
    <t xml:space="preserve">0.0072;-0.0097;0.0288</t>
  </si>
  <si>
    <t xml:space="preserve">0.0052;-0.0080;0.0266</t>
  </si>
  <si>
    <t xml:space="preserve">0.0053;-0.0086;0.0268</t>
  </si>
  <si>
    <t xml:space="preserve">0.0066;-0.0092;0.0277</t>
  </si>
  <si>
    <t xml:space="preserve">0.0033;-0.0068;0.0261</t>
  </si>
  <si>
    <t xml:space="preserve">0.0045;-0.0039;0.0254</t>
  </si>
  <si>
    <t xml:space="preserve">0.0067;-0.0099;0.0281</t>
  </si>
  <si>
    <t xml:space="preserve">0.0074;-0.0016;0.0253</t>
  </si>
  <si>
    <t xml:space="preserve">Notes:</t>
  </si>
  <si>
    <t xml:space="preserve">Drift threshold = 2 cm (anchor_drift_warning). Latched: fires once on up-crossing, only re-fires after returning below 2 cm.</t>
  </si>
  <si>
    <t xml:space="preserve">Major threshold = 5 cm (anchor_major_drift) — NEVER crossed in this run.</t>
  </si>
  <si>
    <t xml:space="preserve">Reference pose (first-localized): (0.0120, -0.0110, 0.0080) m. Drift direction was primarily +Z.</t>
  </si>
  <si>
    <t xml:space="preserve">timestamp_ms</t>
  </si>
  <si>
    <t xml:space="preserve">Visualizations (see Charts sheet)</t>
  </si>
  <si>
    <t xml:space="preserve">Walk time per trial</t>
  </si>
  <si>
    <t xml:space="preserve">Trial duration showing measurement pauses</t>
  </si>
  <si>
    <t xml:space="preserve">Perturbation magnitude effect + adaptation trend</t>
  </si>
  <si>
    <t xml:space="preserve">Anchor drift over session</t>
  </si>
  <si>
    <t xml:space="preserve">Head+obstacle trajectory examples (trial 1 vs 99)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</si>
</sst>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5B4"/>
        <bgColor rgb="FFFFD0D0"/>
      </patternFill>
    </fill>
    <fill>
      <patternFill patternType="solid">
        <fgColor rgb="FFFFD0D0"/>
        <bgColor rgb="FFFFE5B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B4"/>
      <rgbColor rgb="FF99CCFF"/>
      <rgbColor rgb="FFFF99CC"/>
      <rgbColor rgb="FFCC99FF"/>
      <rgbColor rgb="FFFFD0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11160</xdr:colOff>
      <xdr:row>20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601200"/>
          <a:ext cx="8572320" cy="342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14</xdr:col>
      <xdr:colOff>11160</xdr:colOff>
      <xdr:row>42</xdr:row>
      <xdr:rowOff>190080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4792320"/>
          <a:ext cx="8572320" cy="342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14</xdr:col>
      <xdr:colOff>11160</xdr:colOff>
      <xdr:row>64</xdr:row>
      <xdr:rowOff>190080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0" y="8983440"/>
          <a:ext cx="8572320" cy="342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11160</xdr:colOff>
      <xdr:row>86</xdr:row>
      <xdr:rowOff>190080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0" y="13174200"/>
          <a:ext cx="8572320" cy="342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14</xdr:col>
      <xdr:colOff>11160</xdr:colOff>
      <xdr:row>108</xdr:row>
      <xdr:rowOff>190080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0" y="17365320"/>
          <a:ext cx="8572320" cy="342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90"/>
    <col collapsed="false" customWidth="true" hidden="false" outlineLevel="0" max="5" min="4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3" t="s">
        <v>6</v>
      </c>
      <c r="B8" s="3" t="s">
        <v>7</v>
      </c>
      <c r="C8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5" t="s">
        <v>13</v>
      </c>
      <c r="C10" s="5" t="s">
        <v>14</v>
      </c>
    </row>
    <row r="11" customFormat="false" ht="15" hidden="false" customHeight="false" outlineLevel="0" collapsed="false">
      <c r="A11" s="4" t="s">
        <v>15</v>
      </c>
      <c r="B11" s="4" t="s">
        <v>16</v>
      </c>
      <c r="C11" s="4" t="s">
        <v>17</v>
      </c>
    </row>
    <row r="12" customFormat="false" ht="15" hidden="false" customHeight="false" outlineLevel="0" collapsed="false">
      <c r="A12" s="5" t="s">
        <v>18</v>
      </c>
      <c r="B12" s="5" t="s">
        <v>16</v>
      </c>
      <c r="C12" s="5" t="s">
        <v>19</v>
      </c>
    </row>
    <row r="13" customFormat="false" ht="15" hidden="false" customHeight="false" outlineLevel="0" collapsed="false">
      <c r="A13" s="4" t="s">
        <v>20</v>
      </c>
      <c r="B13" s="4" t="s">
        <v>16</v>
      </c>
      <c r="C13" s="4" t="s">
        <v>21</v>
      </c>
    </row>
    <row r="14" customFormat="false" ht="15" hidden="false" customHeight="false" outlineLevel="0" collapsed="false">
      <c r="A14" s="5" t="s">
        <v>22</v>
      </c>
      <c r="B14" s="5" t="s">
        <v>23</v>
      </c>
      <c r="C14" s="5" t="s">
        <v>24</v>
      </c>
    </row>
    <row r="15" customFormat="false" ht="15" hidden="false" customHeight="false" outlineLevel="0" collapsed="false">
      <c r="A15" s="4" t="s">
        <v>25</v>
      </c>
      <c r="B15" s="4" t="s">
        <v>26</v>
      </c>
      <c r="C15" s="4" t="s">
        <v>27</v>
      </c>
    </row>
    <row r="16" customFormat="false" ht="15" hidden="false" customHeight="false" outlineLevel="0" collapsed="false">
      <c r="A16" s="5" t="s">
        <v>28</v>
      </c>
      <c r="B16" s="5" t="s">
        <v>29</v>
      </c>
      <c r="C16" s="5" t="s">
        <v>30</v>
      </c>
    </row>
    <row r="17" customFormat="false" ht="15" hidden="false" customHeight="false" outlineLevel="0" collapsed="false">
      <c r="A17" s="4" t="s">
        <v>31</v>
      </c>
      <c r="B17" s="4" t="s">
        <v>23</v>
      </c>
      <c r="C17" s="4" t="s">
        <v>32</v>
      </c>
    </row>
    <row r="18" customFormat="false" ht="15" hidden="false" customHeight="false" outlineLevel="0" collapsed="false">
      <c r="A18" s="5" t="s">
        <v>33</v>
      </c>
      <c r="B18" s="5" t="s">
        <v>34</v>
      </c>
      <c r="C18" s="5" t="s">
        <v>35</v>
      </c>
    </row>
    <row r="19" customFormat="false" ht="15" hidden="false" customHeight="false" outlineLevel="0" collapsed="false">
      <c r="A19" s="4" t="s">
        <v>36</v>
      </c>
      <c r="B19" s="4" t="s">
        <v>37</v>
      </c>
      <c r="C19" s="4" t="s">
        <v>38</v>
      </c>
    </row>
    <row r="22" customFormat="false" ht="15" hidden="false" customHeight="false" outlineLevel="0" collapsed="false">
      <c r="A22" s="2" t="s">
        <v>39</v>
      </c>
    </row>
    <row r="23" customFormat="false" ht="15" hidden="false" customHeight="false" outlineLevel="0" collapsed="false">
      <c r="A23" s="3" t="s">
        <v>40</v>
      </c>
      <c r="B23" s="3" t="s">
        <v>41</v>
      </c>
      <c r="C23" s="3" t="s">
        <v>42</v>
      </c>
    </row>
    <row r="24" customFormat="false" ht="15" hidden="false" customHeight="false" outlineLevel="0" collapsed="false">
      <c r="A24" s="4" t="s">
        <v>43</v>
      </c>
      <c r="B24" s="4" t="s">
        <v>44</v>
      </c>
      <c r="C24" s="4"/>
    </row>
    <row r="25" customFormat="false" ht="15" hidden="false" customHeight="false" outlineLevel="0" collapsed="false">
      <c r="A25" s="4" t="s">
        <v>45</v>
      </c>
      <c r="B25" s="4" t="s">
        <v>46</v>
      </c>
      <c r="C25" s="4"/>
    </row>
    <row r="26" customFormat="false" ht="15" hidden="false" customHeight="false" outlineLevel="0" collapsed="false">
      <c r="A26" s="4" t="s">
        <v>47</v>
      </c>
      <c r="B26" s="4" t="s">
        <v>48</v>
      </c>
      <c r="C26" s="4"/>
    </row>
    <row r="27" customFormat="false" ht="15" hidden="false" customHeight="false" outlineLevel="0" collapsed="false">
      <c r="A27" s="4" t="s">
        <v>49</v>
      </c>
      <c r="B27" s="4" t="s">
        <v>50</v>
      </c>
      <c r="C27" s="4"/>
    </row>
    <row r="28" customFormat="false" ht="15" hidden="false" customHeight="false" outlineLevel="0" collapsed="false">
      <c r="A28" s="4" t="s">
        <v>51</v>
      </c>
      <c r="B28" s="4" t="s">
        <v>52</v>
      </c>
      <c r="C28" s="4" t="s">
        <v>53</v>
      </c>
    </row>
    <row r="29" customFormat="false" ht="15" hidden="false" customHeight="false" outlineLevel="0" collapsed="false">
      <c r="A29" s="4" t="s">
        <v>54</v>
      </c>
      <c r="B29" s="4" t="s">
        <v>55</v>
      </c>
      <c r="C29" s="4" t="s">
        <v>56</v>
      </c>
    </row>
    <row r="30" customFormat="false" ht="15" hidden="false" customHeight="false" outlineLevel="0" collapsed="false">
      <c r="A30" s="4" t="s">
        <v>57</v>
      </c>
      <c r="B30" s="4" t="s">
        <v>58</v>
      </c>
      <c r="C30" s="4" t="s">
        <v>59</v>
      </c>
    </row>
    <row r="33" customFormat="false" ht="15" hidden="false" customHeight="false" outlineLevel="0" collapsed="false">
      <c r="A33" s="2" t="s">
        <v>60</v>
      </c>
    </row>
    <row r="34" customFormat="false" ht="79.5" hidden="false" customHeight="true" outlineLevel="0" collapsed="false">
      <c r="A34" s="6" t="s">
        <v>61</v>
      </c>
      <c r="B34" s="6"/>
      <c r="C34" s="6"/>
      <c r="D34" s="6"/>
      <c r="E34" s="6"/>
    </row>
    <row r="35" customFormat="false" ht="15" hidden="false" customHeight="false" outlineLevel="0" collapsed="false">
      <c r="A35" s="6"/>
      <c r="B35" s="6"/>
      <c r="C35" s="6"/>
      <c r="D35" s="6"/>
      <c r="E35" s="6"/>
    </row>
    <row r="36" customFormat="false" ht="15" hidden="false" customHeight="false" outlineLevel="0" collapsed="false">
      <c r="A36" s="6"/>
      <c r="B36" s="6"/>
      <c r="C36" s="6"/>
      <c r="D36" s="6"/>
      <c r="E36" s="6"/>
    </row>
    <row r="37" customFormat="false" ht="15" hidden="false" customHeight="false" outlineLevel="0" collapsed="false">
      <c r="A37" s="6"/>
      <c r="B37" s="6"/>
      <c r="C37" s="6"/>
      <c r="D37" s="6"/>
      <c r="E37" s="6"/>
    </row>
    <row r="38" customFormat="false" ht="15" hidden="false" customHeight="false" outlineLevel="0" collapsed="false">
      <c r="A38" s="6"/>
      <c r="B38" s="6"/>
      <c r="C38" s="6"/>
      <c r="D38" s="6"/>
      <c r="E38" s="6"/>
    </row>
  </sheetData>
  <mergeCells count="2">
    <mergeCell ref="A1:E1"/>
    <mergeCell ref="A34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7" t="s">
        <v>62</v>
      </c>
    </row>
    <row r="3" customFormat="false" ht="15" hidden="false" customHeight="false" outlineLevel="0" collapsed="false">
      <c r="A3" s="3" t="s">
        <v>63</v>
      </c>
      <c r="B3" s="3" t="s">
        <v>64</v>
      </c>
      <c r="C3" s="3" t="s">
        <v>8</v>
      </c>
    </row>
    <row r="4" customFormat="false" ht="15" hidden="false" customHeight="false" outlineLevel="0" collapsed="false">
      <c r="A4" s="5" t="s">
        <v>65</v>
      </c>
      <c r="B4" s="5" t="n">
        <v>100</v>
      </c>
      <c r="C4" s="5" t="s">
        <v>66</v>
      </c>
    </row>
    <row r="5" customFormat="false" ht="15" hidden="false" customHeight="false" outlineLevel="0" collapsed="false">
      <c r="A5" s="4" t="s">
        <v>67</v>
      </c>
      <c r="B5" s="4" t="n">
        <v>100</v>
      </c>
      <c r="C5" s="4" t="s">
        <v>68</v>
      </c>
    </row>
    <row r="6" customFormat="false" ht="15" hidden="false" customHeight="false" outlineLevel="0" collapsed="false">
      <c r="A6" s="5" t="s">
        <v>69</v>
      </c>
      <c r="B6" s="5" t="n">
        <v>100</v>
      </c>
      <c r="C6" s="5" t="s">
        <v>70</v>
      </c>
    </row>
    <row r="7" customFormat="false" ht="15" hidden="false" customHeight="false" outlineLevel="0" collapsed="false">
      <c r="A7" s="4" t="s">
        <v>71</v>
      </c>
      <c r="B7" s="4" t="n">
        <v>17</v>
      </c>
      <c r="C7" s="4" t="s">
        <v>72</v>
      </c>
    </row>
    <row r="8" customFormat="false" ht="15" hidden="false" customHeight="false" outlineLevel="0" collapsed="false">
      <c r="A8" s="5" t="s">
        <v>73</v>
      </c>
      <c r="B8" s="5" t="n">
        <v>9</v>
      </c>
      <c r="C8" s="5" t="s">
        <v>74</v>
      </c>
    </row>
    <row r="9" customFormat="false" ht="15" hidden="false" customHeight="false" outlineLevel="0" collapsed="false">
      <c r="A9" s="4" t="s">
        <v>75</v>
      </c>
      <c r="B9" s="4" t="n">
        <v>9</v>
      </c>
      <c r="C9" s="4" t="s">
        <v>76</v>
      </c>
    </row>
    <row r="10" customFormat="false" ht="15" hidden="false" customHeight="false" outlineLevel="0" collapsed="false">
      <c r="A10" s="5" t="s">
        <v>77</v>
      </c>
      <c r="B10" s="5" t="n">
        <v>2</v>
      </c>
      <c r="C10" s="5" t="s">
        <v>78</v>
      </c>
    </row>
    <row r="11" customFormat="false" ht="15" hidden="false" customHeight="false" outlineLevel="0" collapsed="false">
      <c r="A11" s="4" t="s">
        <v>79</v>
      </c>
      <c r="B11" s="4" t="n">
        <v>1</v>
      </c>
      <c r="C11" s="4" t="s">
        <v>80</v>
      </c>
    </row>
    <row r="12" customFormat="false" ht="15" hidden="false" customHeight="false" outlineLevel="0" collapsed="false">
      <c r="A12" s="5" t="s">
        <v>81</v>
      </c>
      <c r="B12" s="5" t="n">
        <v>1</v>
      </c>
      <c r="C12" s="5" t="s">
        <v>82</v>
      </c>
    </row>
    <row r="13" customFormat="false" ht="15" hidden="false" customHeight="false" outlineLevel="0" collapsed="false">
      <c r="A13" s="4" t="s">
        <v>83</v>
      </c>
      <c r="B13" s="4" t="n">
        <v>1</v>
      </c>
      <c r="C13" s="4" t="s">
        <v>84</v>
      </c>
    </row>
    <row r="14" customFormat="false" ht="15" hidden="false" customHeight="false" outlineLevel="0" collapsed="false">
      <c r="A14" s="5" t="s">
        <v>85</v>
      </c>
      <c r="B14" s="5" t="n">
        <v>1</v>
      </c>
      <c r="C14" s="5" t="s">
        <v>86</v>
      </c>
    </row>
    <row r="15" customFormat="false" ht="15" hidden="false" customHeight="false" outlineLevel="0" collapsed="false">
      <c r="A15" s="4" t="s">
        <v>87</v>
      </c>
      <c r="B15" s="4" t="n">
        <v>1</v>
      </c>
      <c r="C15" s="4" t="s">
        <v>88</v>
      </c>
    </row>
    <row r="16" customFormat="false" ht="15" hidden="false" customHeight="false" outlineLevel="0" collapsed="false">
      <c r="A16" s="5" t="s">
        <v>89</v>
      </c>
      <c r="B16" s="5" t="n">
        <v>1</v>
      </c>
      <c r="C16" s="5" t="s">
        <v>90</v>
      </c>
    </row>
    <row r="17" customFormat="false" ht="15" hidden="false" customHeight="false" outlineLevel="0" collapsed="false">
      <c r="A17" s="8" t="s">
        <v>91</v>
      </c>
      <c r="B17" s="8" t="n">
        <f aca="false">SUM(B4:B16)</f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3" min="1" style="0" width="14"/>
  </cols>
  <sheetData>
    <row r="1" customFormat="false" ht="35.05" hidden="false" customHeight="false" outlineLevel="0" collapsed="false">
      <c r="A1" s="9" t="s">
        <v>92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105</v>
      </c>
      <c r="O1" s="9" t="s">
        <v>106</v>
      </c>
      <c r="P1" s="9" t="s">
        <v>107</v>
      </c>
      <c r="Q1" s="9" t="s">
        <v>108</v>
      </c>
      <c r="R1" s="9" t="s">
        <v>109</v>
      </c>
      <c r="S1" s="9" t="s">
        <v>110</v>
      </c>
      <c r="T1" s="9" t="s">
        <v>111</v>
      </c>
      <c r="U1" s="9" t="s">
        <v>112</v>
      </c>
      <c r="V1" s="9" t="s">
        <v>113</v>
      </c>
      <c r="W1" s="9" t="s">
        <v>114</v>
      </c>
    </row>
    <row r="2" customFormat="false" ht="15" hidden="false" customHeight="false" outlineLevel="0" collapsed="false">
      <c r="A2" s="5" t="n">
        <v>0</v>
      </c>
      <c r="B2" s="5" t="n">
        <v>0.35</v>
      </c>
      <c r="C2" s="10" t="b">
        <f aca="false">FALSE()</f>
        <v>0</v>
      </c>
      <c r="D2" s="5" t="n">
        <v>5322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0" t="b">
        <f aca="false">FALSE()</f>
        <v>0</v>
      </c>
      <c r="T2" s="10" t="b">
        <f aca="false">FALSE()</f>
        <v>0</v>
      </c>
      <c r="U2" s="5" t="n">
        <v>0</v>
      </c>
      <c r="V2" s="10" t="b">
        <f aca="false">FALSE()</f>
        <v>0</v>
      </c>
      <c r="W2" s="5" t="s">
        <v>115</v>
      </c>
    </row>
    <row r="3" customFormat="false" ht="15" hidden="false" customHeight="false" outlineLevel="0" collapsed="false">
      <c r="A3" s="4" t="n">
        <v>1</v>
      </c>
      <c r="B3" s="4" t="n">
        <v>0.35</v>
      </c>
      <c r="C3" s="11" t="b">
        <f aca="false">FALSE()</f>
        <v>0</v>
      </c>
      <c r="D3" s="4" t="n">
        <v>2336</v>
      </c>
      <c r="E3" s="4" t="n">
        <v>9846</v>
      </c>
      <c r="F3" s="4" t="n">
        <v>492</v>
      </c>
      <c r="G3" s="4" t="n">
        <v>9.82</v>
      </c>
      <c r="H3" s="4" t="n">
        <v>50.1</v>
      </c>
      <c r="I3" s="4" t="n">
        <v>8.996</v>
      </c>
      <c r="J3" s="4" t="n">
        <v>3.981</v>
      </c>
      <c r="K3" s="4" t="n">
        <v>3.981</v>
      </c>
      <c r="L3" s="4" t="n">
        <v>0.916</v>
      </c>
      <c r="M3" s="4" t="n">
        <v>1.785</v>
      </c>
      <c r="N3" s="4" t="n">
        <v>0.685</v>
      </c>
      <c r="O3" s="4" t="n">
        <v>0.838</v>
      </c>
      <c r="P3" s="4" t="n">
        <v>0.35</v>
      </c>
      <c r="Q3" s="4" t="n">
        <v>0.35</v>
      </c>
      <c r="R3" s="4" t="n">
        <v>1</v>
      </c>
      <c r="S3" s="11" t="b">
        <f aca="false">FALSE()</f>
        <v>0</v>
      </c>
      <c r="T3" s="11" t="b">
        <f aca="false">FALSE()</f>
        <v>0</v>
      </c>
      <c r="U3" s="4" t="n">
        <v>0</v>
      </c>
      <c r="V3" s="11" t="b">
        <f aca="false">FALSE()</f>
        <v>0</v>
      </c>
      <c r="W3" s="4" t="s">
        <v>116</v>
      </c>
    </row>
    <row r="4" customFormat="false" ht="15" hidden="false" customHeight="false" outlineLevel="0" collapsed="false">
      <c r="A4" s="5" t="n">
        <v>2</v>
      </c>
      <c r="B4" s="5" t="n">
        <v>0.7</v>
      </c>
      <c r="C4" s="10" t="b">
        <f aca="false">FALSE()</f>
        <v>0</v>
      </c>
      <c r="D4" s="5" t="n">
        <v>2988</v>
      </c>
      <c r="E4" s="5" t="n">
        <v>9097</v>
      </c>
      <c r="F4" s="5" t="n">
        <v>455</v>
      </c>
      <c r="G4" s="5" t="n">
        <v>9.08</v>
      </c>
      <c r="H4" s="5" t="n">
        <v>50.1</v>
      </c>
      <c r="I4" s="5" t="n">
        <v>8.945</v>
      </c>
      <c r="J4" s="5" t="n">
        <v>3.991</v>
      </c>
      <c r="K4" s="5" t="n">
        <v>3.991</v>
      </c>
      <c r="L4" s="5" t="n">
        <v>0.985</v>
      </c>
      <c r="M4" s="5" t="n">
        <v>1.78</v>
      </c>
      <c r="N4" s="5" t="n">
        <v>1.374</v>
      </c>
      <c r="O4" s="5" t="n">
        <v>1.138</v>
      </c>
      <c r="P4" s="5" t="n">
        <v>0.7</v>
      </c>
      <c r="Q4" s="5" t="n">
        <v>0.7</v>
      </c>
      <c r="R4" s="5" t="n">
        <v>1</v>
      </c>
      <c r="S4" s="10" t="b">
        <f aca="false">FALSE()</f>
        <v>0</v>
      </c>
      <c r="T4" s="10" t="b">
        <f aca="false">FALSE()</f>
        <v>0</v>
      </c>
      <c r="U4" s="5" t="n">
        <v>0</v>
      </c>
      <c r="V4" s="10" t="b">
        <f aca="false">FALSE()</f>
        <v>0</v>
      </c>
      <c r="W4" s="5" t="s">
        <v>116</v>
      </c>
    </row>
    <row r="5" customFormat="false" ht="15" hidden="false" customHeight="false" outlineLevel="0" collapsed="false">
      <c r="A5" s="4" t="n">
        <v>3</v>
      </c>
      <c r="B5" s="4" t="n">
        <v>0.7</v>
      </c>
      <c r="C5" s="11" t="b">
        <f aca="false">FALSE()</f>
        <v>0</v>
      </c>
      <c r="D5" s="4" t="n">
        <v>2974</v>
      </c>
      <c r="E5" s="4" t="n">
        <v>9707</v>
      </c>
      <c r="F5" s="4" t="n">
        <v>485</v>
      </c>
      <c r="G5" s="4" t="n">
        <v>9.68</v>
      </c>
      <c r="H5" s="4" t="n">
        <v>50.1</v>
      </c>
      <c r="I5" s="4" t="n">
        <v>9.145</v>
      </c>
      <c r="J5" s="4" t="n">
        <v>3.98</v>
      </c>
      <c r="K5" s="4" t="n">
        <v>3.98</v>
      </c>
      <c r="L5" s="4" t="n">
        <v>0.945</v>
      </c>
      <c r="M5" s="4" t="n">
        <v>1.789</v>
      </c>
      <c r="N5" s="4" t="n">
        <v>1.38</v>
      </c>
      <c r="O5" s="4" t="n">
        <v>1.062</v>
      </c>
      <c r="P5" s="4" t="n">
        <v>0.7</v>
      </c>
      <c r="Q5" s="4" t="n">
        <v>0.7</v>
      </c>
      <c r="R5" s="4" t="n">
        <v>1</v>
      </c>
      <c r="S5" s="11" t="b">
        <f aca="false">FALSE()</f>
        <v>0</v>
      </c>
      <c r="T5" s="11" t="b">
        <f aca="false">FALSE()</f>
        <v>0</v>
      </c>
      <c r="U5" s="4" t="n">
        <v>0</v>
      </c>
      <c r="V5" s="11" t="b">
        <f aca="false">FALSE()</f>
        <v>0</v>
      </c>
      <c r="W5" s="4" t="s">
        <v>116</v>
      </c>
    </row>
    <row r="6" customFormat="false" ht="15" hidden="false" customHeight="false" outlineLevel="0" collapsed="false">
      <c r="A6" s="5" t="n">
        <v>4</v>
      </c>
      <c r="B6" s="5" t="n">
        <v>0.35</v>
      </c>
      <c r="C6" s="10" t="b">
        <f aca="false">FALSE()</f>
        <v>0</v>
      </c>
      <c r="D6" s="5" t="n">
        <v>6696</v>
      </c>
      <c r="E6" s="5" t="n">
        <v>14306</v>
      </c>
      <c r="F6" s="5" t="n">
        <v>716</v>
      </c>
      <c r="G6" s="5" t="n">
        <v>14.3</v>
      </c>
      <c r="H6" s="5" t="n">
        <v>50.1</v>
      </c>
      <c r="I6" s="5" t="n">
        <v>12.022</v>
      </c>
      <c r="J6" s="5" t="n">
        <v>4.01</v>
      </c>
      <c r="K6" s="5" t="n">
        <v>4.01</v>
      </c>
      <c r="L6" s="5" t="n">
        <v>0.841</v>
      </c>
      <c r="M6" s="5" t="n">
        <v>2.721</v>
      </c>
      <c r="N6" s="5" t="n">
        <v>0.693</v>
      </c>
      <c r="O6" s="5" t="n">
        <v>1.083</v>
      </c>
      <c r="P6" s="5" t="n">
        <v>0.3499</v>
      </c>
      <c r="Q6" s="5" t="n">
        <v>0.3499</v>
      </c>
      <c r="R6" s="5" t="n">
        <v>1</v>
      </c>
      <c r="S6" s="10" t="b">
        <f aca="false">FALSE()</f>
        <v>0</v>
      </c>
      <c r="T6" s="10" t="b">
        <f aca="false">FALSE()</f>
        <v>0</v>
      </c>
      <c r="U6" s="5" t="n">
        <v>0</v>
      </c>
      <c r="V6" s="10" t="b">
        <f aca="false">FALSE()</f>
        <v>0</v>
      </c>
      <c r="W6" s="5" t="s">
        <v>117</v>
      </c>
    </row>
    <row r="7" customFormat="false" ht="15" hidden="false" customHeight="false" outlineLevel="0" collapsed="false">
      <c r="A7" s="4" t="n">
        <v>5</v>
      </c>
      <c r="B7" s="4" t="n">
        <v>0.35</v>
      </c>
      <c r="C7" s="11" t="b">
        <f aca="false">FALSE()</f>
        <v>0</v>
      </c>
      <c r="D7" s="4" t="n">
        <v>2363</v>
      </c>
      <c r="E7" s="4" t="n">
        <v>8887</v>
      </c>
      <c r="F7" s="4" t="n">
        <v>444</v>
      </c>
      <c r="G7" s="4" t="n">
        <v>8.86</v>
      </c>
      <c r="H7" s="4" t="n">
        <v>50.1</v>
      </c>
      <c r="I7" s="4" t="n">
        <v>8.726</v>
      </c>
      <c r="J7" s="4" t="n">
        <v>4.021</v>
      </c>
      <c r="K7" s="4" t="n">
        <v>4.021</v>
      </c>
      <c r="L7" s="4" t="n">
        <v>0.985</v>
      </c>
      <c r="M7" s="4" t="n">
        <v>1.816</v>
      </c>
      <c r="N7" s="4" t="n">
        <v>0.687</v>
      </c>
      <c r="O7" s="4" t="n">
        <v>1.109</v>
      </c>
      <c r="P7" s="4" t="n">
        <v>0.35</v>
      </c>
      <c r="Q7" s="4" t="n">
        <v>0.35</v>
      </c>
      <c r="R7" s="4" t="n">
        <v>1</v>
      </c>
      <c r="S7" s="11" t="b">
        <f aca="false">FALSE()</f>
        <v>0</v>
      </c>
      <c r="T7" s="11" t="b">
        <f aca="false">FALSE()</f>
        <v>0</v>
      </c>
      <c r="U7" s="4" t="n">
        <v>0</v>
      </c>
      <c r="V7" s="11" t="b">
        <f aca="false">FALSE()</f>
        <v>0</v>
      </c>
      <c r="W7" s="4" t="s">
        <v>116</v>
      </c>
    </row>
    <row r="8" customFormat="false" ht="15" hidden="false" customHeight="false" outlineLevel="0" collapsed="false">
      <c r="A8" s="5" t="n">
        <v>6</v>
      </c>
      <c r="B8" s="5" t="n">
        <v>0.7</v>
      </c>
      <c r="C8" s="10" t="b">
        <f aca="false">FALSE()</f>
        <v>0</v>
      </c>
      <c r="D8" s="5" t="n">
        <v>2988</v>
      </c>
      <c r="E8" s="5" t="n">
        <v>10042</v>
      </c>
      <c r="F8" s="5" t="n">
        <v>502</v>
      </c>
      <c r="G8" s="5" t="n">
        <v>10.02</v>
      </c>
      <c r="H8" s="5" t="n">
        <v>50.1</v>
      </c>
      <c r="I8" s="5" t="n">
        <v>9.517</v>
      </c>
      <c r="J8" s="5" t="n">
        <v>3.999</v>
      </c>
      <c r="K8" s="5" t="n">
        <v>3.999</v>
      </c>
      <c r="L8" s="5" t="n">
        <v>0.95</v>
      </c>
      <c r="M8" s="5" t="n">
        <v>1.877</v>
      </c>
      <c r="N8" s="5" t="n">
        <v>1.382</v>
      </c>
      <c r="O8" s="5" t="n">
        <v>1.297</v>
      </c>
      <c r="P8" s="5" t="n">
        <v>0.7</v>
      </c>
      <c r="Q8" s="5" t="n">
        <v>0.7</v>
      </c>
      <c r="R8" s="5" t="n">
        <v>1</v>
      </c>
      <c r="S8" s="10" t="b">
        <f aca="false">FALSE()</f>
        <v>0</v>
      </c>
      <c r="T8" s="10" t="b">
        <f aca="false">FALSE()</f>
        <v>0</v>
      </c>
      <c r="U8" s="5" t="n">
        <v>0</v>
      </c>
      <c r="V8" s="10" t="b">
        <f aca="false">FALSE()</f>
        <v>0</v>
      </c>
      <c r="W8" s="5" t="s">
        <v>116</v>
      </c>
    </row>
    <row r="9" customFormat="false" ht="15" hidden="false" customHeight="false" outlineLevel="0" collapsed="false">
      <c r="A9" s="4" t="n">
        <v>7</v>
      </c>
      <c r="B9" s="4" t="n">
        <v>0.7</v>
      </c>
      <c r="C9" s="11" t="b">
        <f aca="false">FALSE()</f>
        <v>0</v>
      </c>
      <c r="D9" s="4" t="n">
        <v>3031</v>
      </c>
      <c r="E9" s="4" t="n">
        <v>9971</v>
      </c>
      <c r="F9" s="4" t="n">
        <v>499</v>
      </c>
      <c r="G9" s="4" t="n">
        <v>9.96</v>
      </c>
      <c r="H9" s="4" t="n">
        <v>50.1</v>
      </c>
      <c r="I9" s="4" t="n">
        <v>8.857</v>
      </c>
      <c r="J9" s="4" t="n">
        <v>4.003</v>
      </c>
      <c r="K9" s="4" t="n">
        <v>4.003</v>
      </c>
      <c r="L9" s="4" t="n">
        <v>0.889</v>
      </c>
      <c r="M9" s="4" t="n">
        <v>1.749</v>
      </c>
      <c r="N9" s="4" t="n">
        <v>1.39</v>
      </c>
      <c r="O9" s="4" t="n">
        <v>0.887</v>
      </c>
      <c r="P9" s="4" t="n">
        <v>0.7</v>
      </c>
      <c r="Q9" s="4" t="n">
        <v>0.7</v>
      </c>
      <c r="R9" s="4" t="n">
        <v>1</v>
      </c>
      <c r="S9" s="11" t="b">
        <f aca="false">FALSE()</f>
        <v>0</v>
      </c>
      <c r="T9" s="11" t="b">
        <f aca="false">FALSE()</f>
        <v>0</v>
      </c>
      <c r="U9" s="4" t="n">
        <v>0</v>
      </c>
      <c r="V9" s="11" t="b">
        <f aca="false">FALSE()</f>
        <v>0</v>
      </c>
      <c r="W9" s="4" t="s">
        <v>116</v>
      </c>
    </row>
    <row r="10" customFormat="false" ht="15" hidden="false" customHeight="false" outlineLevel="0" collapsed="false">
      <c r="A10" s="12" t="n">
        <v>8</v>
      </c>
      <c r="B10" s="12" t="n">
        <v>0.35</v>
      </c>
      <c r="C10" s="13" t="b">
        <f aca="false">FALSE()</f>
        <v>0</v>
      </c>
      <c r="D10" s="12" t="n">
        <v>2779</v>
      </c>
      <c r="E10" s="12" t="n">
        <v>105797</v>
      </c>
      <c r="F10" s="12" t="n">
        <v>5290</v>
      </c>
      <c r="G10" s="12" t="n">
        <v>105.78</v>
      </c>
      <c r="H10" s="12" t="n">
        <v>50</v>
      </c>
      <c r="I10" s="12" t="n">
        <v>35.681</v>
      </c>
      <c r="J10" s="12" t="n">
        <v>4.024</v>
      </c>
      <c r="K10" s="12" t="n">
        <v>4.024</v>
      </c>
      <c r="L10" s="12" t="n">
        <v>0.337</v>
      </c>
      <c r="M10" s="12" t="n">
        <v>1.806</v>
      </c>
      <c r="N10" s="12" t="n">
        <v>0.687</v>
      </c>
      <c r="O10" s="12" t="n">
        <v>0.778</v>
      </c>
      <c r="P10" s="12" t="n">
        <v>0.3499</v>
      </c>
      <c r="Q10" s="12" t="n">
        <v>0.3499</v>
      </c>
      <c r="R10" s="12" t="n">
        <v>1</v>
      </c>
      <c r="S10" s="13" t="b">
        <f aca="false">TRUE()</f>
        <v>1</v>
      </c>
      <c r="T10" s="13" t="b">
        <f aca="false">FALSE()</f>
        <v>0</v>
      </c>
      <c r="U10" s="12" t="n">
        <v>0</v>
      </c>
      <c r="V10" s="13" t="b">
        <f aca="false">FALSE()</f>
        <v>0</v>
      </c>
      <c r="W10" s="12" t="s">
        <v>118</v>
      </c>
    </row>
    <row r="11" customFormat="false" ht="15" hidden="false" customHeight="false" outlineLevel="0" collapsed="false">
      <c r="A11" s="4" t="n">
        <v>9</v>
      </c>
      <c r="B11" s="4" t="n">
        <v>0.35</v>
      </c>
      <c r="C11" s="11" t="b">
        <f aca="false">FALSE()</f>
        <v>0</v>
      </c>
      <c r="D11" s="4" t="n">
        <v>2197</v>
      </c>
      <c r="E11" s="4" t="n">
        <v>8749</v>
      </c>
      <c r="F11" s="4" t="n">
        <v>437</v>
      </c>
      <c r="G11" s="4" t="n">
        <v>8.72</v>
      </c>
      <c r="H11" s="4" t="n">
        <v>50.1</v>
      </c>
      <c r="I11" s="4" t="n">
        <v>8.863</v>
      </c>
      <c r="J11" s="4" t="n">
        <v>4.003</v>
      </c>
      <c r="K11" s="4" t="n">
        <v>4.003</v>
      </c>
      <c r="L11" s="4" t="n">
        <v>1.016</v>
      </c>
      <c r="M11" s="4" t="n">
        <v>1.876</v>
      </c>
      <c r="N11" s="4" t="n">
        <v>0.687</v>
      </c>
      <c r="O11" s="4" t="n">
        <v>1.061</v>
      </c>
      <c r="P11" s="4" t="n">
        <v>0.35</v>
      </c>
      <c r="Q11" s="4" t="n">
        <v>0.35</v>
      </c>
      <c r="R11" s="4" t="n">
        <v>1</v>
      </c>
      <c r="S11" s="11" t="b">
        <f aca="false">FALSE()</f>
        <v>0</v>
      </c>
      <c r="T11" s="11" t="b">
        <f aca="false">FALSE()</f>
        <v>0</v>
      </c>
      <c r="U11" s="4" t="n">
        <v>0</v>
      </c>
      <c r="V11" s="11" t="b">
        <f aca="false">FALSE()</f>
        <v>0</v>
      </c>
      <c r="W11" s="4" t="s">
        <v>116</v>
      </c>
    </row>
    <row r="12" customFormat="false" ht="15" hidden="false" customHeight="false" outlineLevel="0" collapsed="false">
      <c r="A12" s="5" t="n">
        <v>10</v>
      </c>
      <c r="B12" s="5" t="n">
        <v>0.7</v>
      </c>
      <c r="C12" s="10" t="b">
        <f aca="false">FALSE()</f>
        <v>0</v>
      </c>
      <c r="D12" s="5" t="n">
        <v>3085</v>
      </c>
      <c r="E12" s="5" t="n">
        <v>9485</v>
      </c>
      <c r="F12" s="5" t="n">
        <v>474</v>
      </c>
      <c r="G12" s="5" t="n">
        <v>9.46</v>
      </c>
      <c r="H12" s="5" t="n">
        <v>50.1</v>
      </c>
      <c r="I12" s="5" t="n">
        <v>9.556</v>
      </c>
      <c r="J12" s="5" t="n">
        <v>3.987</v>
      </c>
      <c r="K12" s="5" t="n">
        <v>3.987</v>
      </c>
      <c r="L12" s="5" t="n">
        <v>1.01</v>
      </c>
      <c r="M12" s="5" t="n">
        <v>1.789</v>
      </c>
      <c r="N12" s="5" t="n">
        <v>1.397</v>
      </c>
      <c r="O12" s="5" t="n">
        <v>1.087</v>
      </c>
      <c r="P12" s="5" t="n">
        <v>0.6998</v>
      </c>
      <c r="Q12" s="5" t="n">
        <v>0.6998</v>
      </c>
      <c r="R12" s="5" t="n">
        <v>1</v>
      </c>
      <c r="S12" s="10" t="b">
        <f aca="false">FALSE()</f>
        <v>0</v>
      </c>
      <c r="T12" s="10" t="b">
        <f aca="false">FALSE()</f>
        <v>0</v>
      </c>
      <c r="U12" s="5" t="n">
        <v>0</v>
      </c>
      <c r="V12" s="10" t="b">
        <f aca="false">FALSE()</f>
        <v>0</v>
      </c>
      <c r="W12" s="5" t="s">
        <v>116</v>
      </c>
    </row>
    <row r="13" customFormat="false" ht="15" hidden="false" customHeight="false" outlineLevel="0" collapsed="false">
      <c r="A13" s="4" t="n">
        <v>11</v>
      </c>
      <c r="B13" s="4" t="n">
        <v>0.7</v>
      </c>
      <c r="C13" s="11" t="b">
        <f aca="false">FALSE()</f>
        <v>0</v>
      </c>
      <c r="D13" s="4" t="n">
        <v>3127</v>
      </c>
      <c r="E13" s="4" t="n">
        <v>9528</v>
      </c>
      <c r="F13" s="4" t="n">
        <v>477</v>
      </c>
      <c r="G13" s="4" t="n">
        <v>9.52</v>
      </c>
      <c r="H13" s="4" t="n">
        <v>50.1</v>
      </c>
      <c r="I13" s="4" t="n">
        <v>8.985</v>
      </c>
      <c r="J13" s="4" t="n">
        <v>3.999</v>
      </c>
      <c r="K13" s="4" t="n">
        <v>3.999</v>
      </c>
      <c r="L13" s="4" t="n">
        <v>0.944</v>
      </c>
      <c r="M13" s="4" t="n">
        <v>1.732</v>
      </c>
      <c r="N13" s="4" t="n">
        <v>1.397</v>
      </c>
      <c r="O13" s="4" t="n">
        <v>0.857</v>
      </c>
      <c r="P13" s="4" t="n">
        <v>0.7</v>
      </c>
      <c r="Q13" s="4" t="n">
        <v>0.7</v>
      </c>
      <c r="R13" s="4" t="n">
        <v>1</v>
      </c>
      <c r="S13" s="11" t="b">
        <f aca="false">FALSE()</f>
        <v>0</v>
      </c>
      <c r="T13" s="11" t="b">
        <f aca="false">FALSE()</f>
        <v>0</v>
      </c>
      <c r="U13" s="4" t="n">
        <v>0</v>
      </c>
      <c r="V13" s="11" t="b">
        <f aca="false">FALSE()</f>
        <v>0</v>
      </c>
      <c r="W13" s="4" t="s">
        <v>116</v>
      </c>
    </row>
    <row r="14" customFormat="false" ht="15" hidden="false" customHeight="false" outlineLevel="0" collapsed="false">
      <c r="A14" s="5" t="n">
        <v>12</v>
      </c>
      <c r="B14" s="5" t="n">
        <v>0.35</v>
      </c>
      <c r="C14" s="10" t="b">
        <f aca="false">FALSE()</f>
        <v>0</v>
      </c>
      <c r="D14" s="5" t="n">
        <v>2433</v>
      </c>
      <c r="E14" s="5" t="n">
        <v>9707</v>
      </c>
      <c r="F14" s="5" t="n">
        <v>485</v>
      </c>
      <c r="G14" s="5" t="n">
        <v>9.68</v>
      </c>
      <c r="H14" s="5" t="n">
        <v>50.1</v>
      </c>
      <c r="I14" s="5" t="n">
        <v>9.341</v>
      </c>
      <c r="J14" s="5" t="n">
        <v>3.997</v>
      </c>
      <c r="K14" s="5" t="n">
        <v>3.997</v>
      </c>
      <c r="L14" s="5" t="n">
        <v>0.965</v>
      </c>
      <c r="M14" s="5" t="n">
        <v>1.818</v>
      </c>
      <c r="N14" s="5" t="n">
        <v>0.692</v>
      </c>
      <c r="O14" s="5" t="n">
        <v>1.123</v>
      </c>
      <c r="P14" s="5" t="n">
        <v>0.35</v>
      </c>
      <c r="Q14" s="5" t="n">
        <v>0.35</v>
      </c>
      <c r="R14" s="5" t="n">
        <v>1</v>
      </c>
      <c r="S14" s="10" t="b">
        <f aca="false">FALSE()</f>
        <v>0</v>
      </c>
      <c r="T14" s="10" t="b">
        <f aca="false">FALSE()</f>
        <v>0</v>
      </c>
      <c r="U14" s="5" t="n">
        <v>0</v>
      </c>
      <c r="V14" s="10" t="b">
        <f aca="false">FALSE()</f>
        <v>0</v>
      </c>
      <c r="W14" s="5" t="s">
        <v>116</v>
      </c>
    </row>
    <row r="15" customFormat="false" ht="15" hidden="false" customHeight="false" outlineLevel="0" collapsed="false">
      <c r="A15" s="4" t="n">
        <v>13</v>
      </c>
      <c r="B15" s="4" t="n">
        <v>0.35</v>
      </c>
      <c r="C15" s="11" t="b">
        <f aca="false">FALSE()</f>
        <v>0</v>
      </c>
      <c r="D15" s="4" t="n">
        <v>2322</v>
      </c>
      <c r="E15" s="4" t="n">
        <v>9180</v>
      </c>
      <c r="F15" s="4" t="n">
        <v>459</v>
      </c>
      <c r="G15" s="4" t="n">
        <v>9.16</v>
      </c>
      <c r="H15" s="4" t="n">
        <v>50.1</v>
      </c>
      <c r="I15" s="4" t="n">
        <v>9.031</v>
      </c>
      <c r="J15" s="4" t="n">
        <v>3.992</v>
      </c>
      <c r="K15" s="4" t="n">
        <v>3.992</v>
      </c>
      <c r="L15" s="4" t="n">
        <v>0.986</v>
      </c>
      <c r="M15" s="4" t="n">
        <v>3.019</v>
      </c>
      <c r="N15" s="4" t="n">
        <v>0.696</v>
      </c>
      <c r="O15" s="4" t="n">
        <v>1.073</v>
      </c>
      <c r="P15" s="4" t="n">
        <v>0.35</v>
      </c>
      <c r="Q15" s="4" t="n">
        <v>0.35</v>
      </c>
      <c r="R15" s="4" t="n">
        <v>1</v>
      </c>
      <c r="S15" s="11" t="b">
        <f aca="false">FALSE()</f>
        <v>0</v>
      </c>
      <c r="T15" s="11" t="b">
        <f aca="false">FALSE()</f>
        <v>0</v>
      </c>
      <c r="U15" s="4" t="n">
        <v>0</v>
      </c>
      <c r="V15" s="11" t="b">
        <f aca="false">FALSE()</f>
        <v>0</v>
      </c>
      <c r="W15" s="4" t="s">
        <v>116</v>
      </c>
    </row>
    <row r="16" customFormat="false" ht="15" hidden="false" customHeight="false" outlineLevel="0" collapsed="false">
      <c r="A16" s="5" t="n">
        <v>14</v>
      </c>
      <c r="B16" s="5" t="n">
        <v>0.7</v>
      </c>
      <c r="C16" s="10" t="b">
        <f aca="false">FALSE()</f>
        <v>0</v>
      </c>
      <c r="D16" s="5" t="n">
        <v>3211</v>
      </c>
      <c r="E16" s="5" t="n">
        <v>10027</v>
      </c>
      <c r="F16" s="5" t="n">
        <v>501</v>
      </c>
      <c r="G16" s="5" t="n">
        <v>10</v>
      </c>
      <c r="H16" s="5" t="n">
        <v>50.1</v>
      </c>
      <c r="I16" s="5" t="n">
        <v>9.49</v>
      </c>
      <c r="J16" s="5" t="n">
        <v>3.985</v>
      </c>
      <c r="K16" s="5" t="n">
        <v>3.985</v>
      </c>
      <c r="L16" s="5" t="n">
        <v>0.949</v>
      </c>
      <c r="M16" s="5" t="n">
        <v>1.732</v>
      </c>
      <c r="N16" s="5" t="n">
        <v>1.39</v>
      </c>
      <c r="O16" s="5" t="n">
        <v>0.947</v>
      </c>
      <c r="P16" s="5" t="n">
        <v>0.7</v>
      </c>
      <c r="Q16" s="5" t="n">
        <v>0.7</v>
      </c>
      <c r="R16" s="5" t="n">
        <v>1</v>
      </c>
      <c r="S16" s="10" t="b">
        <f aca="false">FALSE()</f>
        <v>0</v>
      </c>
      <c r="T16" s="10" t="b">
        <f aca="false">FALSE()</f>
        <v>0</v>
      </c>
      <c r="U16" s="5" t="n">
        <v>0</v>
      </c>
      <c r="V16" s="10" t="b">
        <f aca="false">FALSE()</f>
        <v>0</v>
      </c>
      <c r="W16" s="5" t="s">
        <v>116</v>
      </c>
    </row>
    <row r="17" customFormat="false" ht="15" hidden="false" customHeight="false" outlineLevel="0" collapsed="false">
      <c r="A17" s="4" t="n">
        <v>15</v>
      </c>
      <c r="B17" s="4" t="n">
        <v>0.7</v>
      </c>
      <c r="C17" s="11" t="b">
        <f aca="false">FALSE()</f>
        <v>0</v>
      </c>
      <c r="D17" s="4" t="n">
        <v>3086</v>
      </c>
      <c r="E17" s="4" t="n">
        <v>9860</v>
      </c>
      <c r="F17" s="4" t="n">
        <v>493</v>
      </c>
      <c r="G17" s="4" t="n">
        <v>9.84</v>
      </c>
      <c r="H17" s="4" t="n">
        <v>50.1</v>
      </c>
      <c r="I17" s="4" t="n">
        <v>9.157</v>
      </c>
      <c r="J17" s="4" t="n">
        <v>3.997</v>
      </c>
      <c r="K17" s="4" t="n">
        <v>3.997</v>
      </c>
      <c r="L17" s="4" t="n">
        <v>0.931</v>
      </c>
      <c r="M17" s="4" t="n">
        <v>1.727</v>
      </c>
      <c r="N17" s="4" t="n">
        <v>1.391</v>
      </c>
      <c r="O17" s="4" t="n">
        <v>0.883</v>
      </c>
      <c r="P17" s="4" t="n">
        <v>0.7</v>
      </c>
      <c r="Q17" s="4" t="n">
        <v>0.7</v>
      </c>
      <c r="R17" s="4" t="n">
        <v>1</v>
      </c>
      <c r="S17" s="11" t="b">
        <f aca="false">FALSE()</f>
        <v>0</v>
      </c>
      <c r="T17" s="11" t="b">
        <f aca="false">FALSE()</f>
        <v>0</v>
      </c>
      <c r="U17" s="4" t="n">
        <v>0</v>
      </c>
      <c r="V17" s="11" t="b">
        <f aca="false">FALSE()</f>
        <v>0</v>
      </c>
      <c r="W17" s="4" t="s">
        <v>116</v>
      </c>
    </row>
    <row r="18" customFormat="false" ht="15" hidden="false" customHeight="false" outlineLevel="0" collapsed="false">
      <c r="A18" s="5" t="n">
        <v>16</v>
      </c>
      <c r="B18" s="5" t="n">
        <v>0.35</v>
      </c>
      <c r="C18" s="10" t="b">
        <f aca="false">FALSE()</f>
        <v>0</v>
      </c>
      <c r="D18" s="5" t="n">
        <v>2544</v>
      </c>
      <c r="E18" s="5" t="n">
        <v>10597</v>
      </c>
      <c r="F18" s="5" t="n">
        <v>530</v>
      </c>
      <c r="G18" s="5" t="n">
        <v>10.58</v>
      </c>
      <c r="H18" s="5" t="n">
        <v>50.1</v>
      </c>
      <c r="I18" s="5" t="n">
        <v>9.684</v>
      </c>
      <c r="J18" s="5" t="n">
        <v>4.002</v>
      </c>
      <c r="K18" s="5" t="n">
        <v>4.002</v>
      </c>
      <c r="L18" s="5" t="n">
        <v>0.915</v>
      </c>
      <c r="M18" s="5" t="n">
        <v>1.809</v>
      </c>
      <c r="N18" s="5" t="n">
        <v>0.692</v>
      </c>
      <c r="O18" s="5" t="n">
        <v>0.979</v>
      </c>
      <c r="P18" s="5" t="n">
        <v>0.35</v>
      </c>
      <c r="Q18" s="5" t="n">
        <v>0.35</v>
      </c>
      <c r="R18" s="5" t="n">
        <v>1</v>
      </c>
      <c r="S18" s="10" t="b">
        <f aca="false">FALSE()</f>
        <v>0</v>
      </c>
      <c r="T18" s="10" t="b">
        <f aca="false">FALSE()</f>
        <v>0</v>
      </c>
      <c r="U18" s="5" t="n">
        <v>0</v>
      </c>
      <c r="V18" s="10" t="b">
        <f aca="false">FALSE()</f>
        <v>0</v>
      </c>
      <c r="W18" s="5" t="s">
        <v>116</v>
      </c>
    </row>
    <row r="19" customFormat="false" ht="15" hidden="false" customHeight="false" outlineLevel="0" collapsed="false">
      <c r="A19" s="4" t="n">
        <v>17</v>
      </c>
      <c r="B19" s="4" t="n">
        <v>0.35</v>
      </c>
      <c r="C19" s="11" t="b">
        <f aca="false">FALSE()</f>
        <v>0</v>
      </c>
      <c r="D19" s="4" t="n">
        <v>2627</v>
      </c>
      <c r="E19" s="4" t="n">
        <v>11513</v>
      </c>
      <c r="F19" s="4" t="n">
        <v>576</v>
      </c>
      <c r="G19" s="4" t="n">
        <v>11.5</v>
      </c>
      <c r="H19" s="4" t="n">
        <v>50.1</v>
      </c>
      <c r="I19" s="4" t="n">
        <v>9.346</v>
      </c>
      <c r="J19" s="4" t="n">
        <v>3.999</v>
      </c>
      <c r="K19" s="4" t="n">
        <v>3.998</v>
      </c>
      <c r="L19" s="4" t="n">
        <v>0.813</v>
      </c>
      <c r="M19" s="4" t="n">
        <v>1.721</v>
      </c>
      <c r="N19" s="4" t="n">
        <v>0.677</v>
      </c>
      <c r="O19" s="4" t="n">
        <v>0.724</v>
      </c>
      <c r="P19" s="4" t="n">
        <v>0.35</v>
      </c>
      <c r="Q19" s="4" t="n">
        <v>0.35</v>
      </c>
      <c r="R19" s="4" t="n">
        <v>1</v>
      </c>
      <c r="S19" s="11" t="b">
        <f aca="false">FALSE()</f>
        <v>0</v>
      </c>
      <c r="T19" s="11" t="b">
        <f aca="false">FALSE()</f>
        <v>0</v>
      </c>
      <c r="U19" s="4" t="n">
        <v>0</v>
      </c>
      <c r="V19" s="11" t="b">
        <f aca="false">FALSE()</f>
        <v>0</v>
      </c>
      <c r="W19" s="4" t="s">
        <v>116</v>
      </c>
    </row>
    <row r="20" customFormat="false" ht="15" hidden="false" customHeight="false" outlineLevel="0" collapsed="false">
      <c r="A20" s="12" t="n">
        <v>18</v>
      </c>
      <c r="B20" s="12" t="n">
        <v>0.7</v>
      </c>
      <c r="C20" s="13" t="b">
        <f aca="false">FALSE()</f>
        <v>0</v>
      </c>
      <c r="D20" s="12" t="n">
        <v>3142</v>
      </c>
      <c r="E20" s="12" t="n">
        <v>101228</v>
      </c>
      <c r="F20" s="12" t="n">
        <v>5061</v>
      </c>
      <c r="G20" s="12" t="n">
        <v>101.2</v>
      </c>
      <c r="H20" s="12" t="n">
        <v>50</v>
      </c>
      <c r="I20" s="12" t="n">
        <v>35.308</v>
      </c>
      <c r="J20" s="12" t="n">
        <v>3.986</v>
      </c>
      <c r="K20" s="12" t="n">
        <v>3.986</v>
      </c>
      <c r="L20" s="12" t="n">
        <v>0.349</v>
      </c>
      <c r="M20" s="12" t="n">
        <v>2.163</v>
      </c>
      <c r="N20" s="12" t="n">
        <v>1.397</v>
      </c>
      <c r="O20" s="12" t="n">
        <v>0.93</v>
      </c>
      <c r="P20" s="12" t="n">
        <v>0.7</v>
      </c>
      <c r="Q20" s="12" t="n">
        <v>0.7</v>
      </c>
      <c r="R20" s="12" t="n">
        <v>1</v>
      </c>
      <c r="S20" s="13" t="b">
        <f aca="false">TRUE()</f>
        <v>1</v>
      </c>
      <c r="T20" s="13" t="b">
        <f aca="false">FALSE()</f>
        <v>0</v>
      </c>
      <c r="U20" s="12" t="n">
        <v>0</v>
      </c>
      <c r="V20" s="13" t="b">
        <f aca="false">FALSE()</f>
        <v>0</v>
      </c>
      <c r="W20" s="12" t="s">
        <v>118</v>
      </c>
    </row>
    <row r="21" customFormat="false" ht="15" hidden="false" customHeight="false" outlineLevel="0" collapsed="false">
      <c r="A21" s="4" t="n">
        <v>19</v>
      </c>
      <c r="B21" s="4" t="n">
        <v>0.7</v>
      </c>
      <c r="C21" s="11" t="b">
        <f aca="false">FALSE()</f>
        <v>0</v>
      </c>
      <c r="D21" s="4" t="n">
        <v>3267</v>
      </c>
      <c r="E21" s="4" t="n">
        <v>9486</v>
      </c>
      <c r="F21" s="4" t="n">
        <v>475</v>
      </c>
      <c r="G21" s="4" t="n">
        <v>9.48</v>
      </c>
      <c r="H21" s="4" t="n">
        <v>50.1</v>
      </c>
      <c r="I21" s="4" t="n">
        <v>8.656</v>
      </c>
      <c r="J21" s="4" t="n">
        <v>4.001</v>
      </c>
      <c r="K21" s="4" t="n">
        <v>4.001</v>
      </c>
      <c r="L21" s="4" t="n">
        <v>0.913</v>
      </c>
      <c r="M21" s="4" t="n">
        <v>1.652</v>
      </c>
      <c r="N21" s="4" t="n">
        <v>1.4</v>
      </c>
      <c r="O21" s="4" t="n">
        <v>0.871</v>
      </c>
      <c r="P21" s="4" t="n">
        <v>0.7</v>
      </c>
      <c r="Q21" s="4" t="n">
        <v>0.7</v>
      </c>
      <c r="R21" s="4" t="n">
        <v>1</v>
      </c>
      <c r="S21" s="11" t="b">
        <f aca="false">FALSE()</f>
        <v>0</v>
      </c>
      <c r="T21" s="11" t="b">
        <f aca="false">FALSE()</f>
        <v>0</v>
      </c>
      <c r="U21" s="4" t="n">
        <v>0</v>
      </c>
      <c r="V21" s="11" t="b">
        <f aca="false">FALSE()</f>
        <v>0</v>
      </c>
      <c r="W21" s="4" t="s">
        <v>116</v>
      </c>
    </row>
    <row r="22" customFormat="false" ht="15" hidden="false" customHeight="false" outlineLevel="0" collapsed="false">
      <c r="A22" s="14" t="n">
        <v>20</v>
      </c>
      <c r="B22" s="14" t="n">
        <v>0.35</v>
      </c>
      <c r="C22" s="15" t="b">
        <f aca="false">TRUE()</f>
        <v>1</v>
      </c>
      <c r="D22" s="14" t="n">
        <v>2529</v>
      </c>
      <c r="E22" s="14" t="n">
        <v>9915</v>
      </c>
      <c r="F22" s="14" t="n">
        <v>495</v>
      </c>
      <c r="G22" s="14" t="n">
        <v>9.88</v>
      </c>
      <c r="H22" s="14" t="n">
        <v>50.1</v>
      </c>
      <c r="I22" s="14" t="n">
        <v>9.311</v>
      </c>
      <c r="J22" s="14" t="n">
        <v>3.989</v>
      </c>
      <c r="K22" s="14" t="n">
        <v>3.989</v>
      </c>
      <c r="L22" s="14" t="n">
        <v>0.942</v>
      </c>
      <c r="M22" s="14" t="n">
        <v>1.77</v>
      </c>
      <c r="N22" s="14" t="n">
        <v>0.697</v>
      </c>
      <c r="O22" s="14" t="n">
        <v>1.025</v>
      </c>
      <c r="P22" s="14" t="n">
        <v>0.35</v>
      </c>
      <c r="Q22" s="14" t="n">
        <v>0.35</v>
      </c>
      <c r="R22" s="14" t="n">
        <v>1</v>
      </c>
      <c r="S22" s="15" t="b">
        <f aca="false">FALSE()</f>
        <v>0</v>
      </c>
      <c r="T22" s="15" t="b">
        <f aca="false">TRUE()</f>
        <v>1</v>
      </c>
      <c r="U22" s="14" t="n">
        <v>1</v>
      </c>
      <c r="V22" s="15" t="b">
        <f aca="false">FALSE()</f>
        <v>0</v>
      </c>
      <c r="W22" s="14" t="s">
        <v>119</v>
      </c>
    </row>
    <row r="23" customFormat="false" ht="15" hidden="false" customHeight="false" outlineLevel="0" collapsed="false">
      <c r="A23" s="4" t="n">
        <v>21</v>
      </c>
      <c r="B23" s="4" t="n">
        <v>0.35</v>
      </c>
      <c r="C23" s="11" t="b">
        <f aca="false">FALSE()</f>
        <v>0</v>
      </c>
      <c r="D23" s="4" t="n">
        <v>2015</v>
      </c>
      <c r="E23" s="4" t="n">
        <v>8680</v>
      </c>
      <c r="F23" s="4" t="n">
        <v>434</v>
      </c>
      <c r="G23" s="4" t="n">
        <v>8.66</v>
      </c>
      <c r="H23" s="4" t="n">
        <v>50.1</v>
      </c>
      <c r="I23" s="4" t="n">
        <v>9.388</v>
      </c>
      <c r="J23" s="4" t="n">
        <v>4.309</v>
      </c>
      <c r="K23" s="4" t="n">
        <v>4.309</v>
      </c>
      <c r="L23" s="4" t="n">
        <v>1.084</v>
      </c>
      <c r="M23" s="4" t="n">
        <v>2.322</v>
      </c>
      <c r="N23" s="4" t="n">
        <v>0.665</v>
      </c>
      <c r="O23" s="4" t="n">
        <v>1.378</v>
      </c>
      <c r="P23" s="4" t="n">
        <v>0.35</v>
      </c>
      <c r="Q23" s="4" t="n">
        <v>0.35</v>
      </c>
      <c r="R23" s="4" t="n">
        <v>1</v>
      </c>
      <c r="S23" s="11" t="b">
        <f aca="false">FALSE()</f>
        <v>0</v>
      </c>
      <c r="T23" s="11" t="b">
        <f aca="false">FALSE()</f>
        <v>0</v>
      </c>
      <c r="U23" s="4" t="n">
        <v>0</v>
      </c>
      <c r="V23" s="11" t="b">
        <f aca="false">FALSE()</f>
        <v>0</v>
      </c>
      <c r="W23" s="4" t="s">
        <v>116</v>
      </c>
    </row>
    <row r="24" customFormat="false" ht="15" hidden="false" customHeight="false" outlineLevel="0" collapsed="false">
      <c r="A24" s="5" t="n">
        <v>22</v>
      </c>
      <c r="B24" s="5" t="n">
        <v>0.35</v>
      </c>
      <c r="C24" s="10" t="b">
        <f aca="false">FALSE()</f>
        <v>0</v>
      </c>
      <c r="D24" s="5" t="n">
        <v>2015</v>
      </c>
      <c r="E24" s="5" t="n">
        <v>7569</v>
      </c>
      <c r="F24" s="5" t="n">
        <v>379</v>
      </c>
      <c r="G24" s="5" t="n">
        <v>7.56</v>
      </c>
      <c r="H24" s="5" t="n">
        <v>50.1</v>
      </c>
      <c r="I24" s="5" t="n">
        <v>9.871</v>
      </c>
      <c r="J24" s="5" t="n">
        <v>4.94</v>
      </c>
      <c r="K24" s="5" t="n">
        <v>4.94</v>
      </c>
      <c r="L24" s="5" t="n">
        <v>1.306</v>
      </c>
      <c r="M24" s="5" t="n">
        <v>3.505</v>
      </c>
      <c r="N24" s="5" t="n">
        <v>0.696</v>
      </c>
      <c r="O24" s="5" t="n">
        <v>1.834</v>
      </c>
      <c r="P24" s="5" t="n">
        <v>0.35</v>
      </c>
      <c r="Q24" s="5" t="n">
        <v>0.35</v>
      </c>
      <c r="R24" s="5" t="n">
        <v>1</v>
      </c>
      <c r="S24" s="10" t="b">
        <f aca="false">FALSE()</f>
        <v>0</v>
      </c>
      <c r="T24" s="10" t="b">
        <f aca="false">FALSE()</f>
        <v>0</v>
      </c>
      <c r="U24" s="5" t="n">
        <v>0</v>
      </c>
      <c r="V24" s="10" t="b">
        <f aca="false">FALSE()</f>
        <v>0</v>
      </c>
      <c r="W24" s="5" t="s">
        <v>116</v>
      </c>
    </row>
    <row r="25" customFormat="false" ht="15" hidden="false" customHeight="false" outlineLevel="0" collapsed="false">
      <c r="A25" s="4" t="n">
        <v>23</v>
      </c>
      <c r="B25" s="4" t="n">
        <v>0.7</v>
      </c>
      <c r="C25" s="11" t="b">
        <f aca="false">FALSE()</f>
        <v>0</v>
      </c>
      <c r="D25" s="4" t="n">
        <v>2238</v>
      </c>
      <c r="E25" s="4" t="n">
        <v>7249</v>
      </c>
      <c r="F25" s="4" t="n">
        <v>362</v>
      </c>
      <c r="G25" s="4" t="n">
        <v>7.22</v>
      </c>
      <c r="H25" s="4" t="n">
        <v>50.1</v>
      </c>
      <c r="I25" s="4" t="n">
        <v>8.499</v>
      </c>
      <c r="J25" s="4" t="n">
        <v>4.587</v>
      </c>
      <c r="K25" s="4" t="n">
        <v>4.587</v>
      </c>
      <c r="L25" s="4" t="n">
        <v>1.177</v>
      </c>
      <c r="M25" s="4" t="n">
        <v>2.39</v>
      </c>
      <c r="N25" s="4" t="n">
        <v>1.381</v>
      </c>
      <c r="O25" s="4" t="n">
        <v>1.74</v>
      </c>
      <c r="P25" s="4" t="n">
        <v>0.7</v>
      </c>
      <c r="Q25" s="4" t="n">
        <v>0.7</v>
      </c>
      <c r="R25" s="4" t="n">
        <v>1</v>
      </c>
      <c r="S25" s="11" t="b">
        <f aca="false">FALSE()</f>
        <v>0</v>
      </c>
      <c r="T25" s="11" t="b">
        <f aca="false">FALSE()</f>
        <v>0</v>
      </c>
      <c r="U25" s="4" t="n">
        <v>0</v>
      </c>
      <c r="V25" s="11" t="b">
        <f aca="false">FALSE()</f>
        <v>0</v>
      </c>
      <c r="W25" s="4" t="s">
        <v>116</v>
      </c>
    </row>
    <row r="26" customFormat="false" ht="15" hidden="false" customHeight="false" outlineLevel="0" collapsed="false">
      <c r="A26" s="5" t="n">
        <v>24</v>
      </c>
      <c r="B26" s="5" t="n">
        <v>0.7</v>
      </c>
      <c r="C26" s="10" t="b">
        <f aca="false">FALSE()</f>
        <v>0</v>
      </c>
      <c r="D26" s="5" t="n">
        <v>2266</v>
      </c>
      <c r="E26" s="5" t="n">
        <v>7819</v>
      </c>
      <c r="F26" s="5" t="n">
        <v>391</v>
      </c>
      <c r="G26" s="5" t="n">
        <v>7.8</v>
      </c>
      <c r="H26" s="5" t="n">
        <v>50.1</v>
      </c>
      <c r="I26" s="5" t="n">
        <v>9.548</v>
      </c>
      <c r="J26" s="5" t="n">
        <v>4.005</v>
      </c>
      <c r="K26" s="5" t="n">
        <v>4.005</v>
      </c>
      <c r="L26" s="5" t="n">
        <v>1.224</v>
      </c>
      <c r="M26" s="5" t="n">
        <v>2.278</v>
      </c>
      <c r="N26" s="5" t="n">
        <v>1.391</v>
      </c>
      <c r="O26" s="5" t="n">
        <v>1.688</v>
      </c>
      <c r="P26" s="5" t="n">
        <v>0.7</v>
      </c>
      <c r="Q26" s="5" t="n">
        <v>0.7</v>
      </c>
      <c r="R26" s="5" t="n">
        <v>1</v>
      </c>
      <c r="S26" s="10" t="b">
        <f aca="false">FALSE()</f>
        <v>0</v>
      </c>
      <c r="T26" s="10" t="b">
        <f aca="false">FALSE()</f>
        <v>0</v>
      </c>
      <c r="U26" s="5" t="n">
        <v>0</v>
      </c>
      <c r="V26" s="10" t="b">
        <f aca="false">FALSE()</f>
        <v>0</v>
      </c>
      <c r="W26" s="5" t="s">
        <v>116</v>
      </c>
    </row>
    <row r="27" customFormat="false" ht="15" hidden="false" customHeight="false" outlineLevel="0" collapsed="false">
      <c r="A27" s="4" t="n">
        <v>25</v>
      </c>
      <c r="B27" s="4" t="n">
        <v>0.35</v>
      </c>
      <c r="C27" s="11" t="b">
        <f aca="false">FALSE()</f>
        <v>0</v>
      </c>
      <c r="D27" s="4" t="n">
        <v>2016</v>
      </c>
      <c r="E27" s="4" t="n">
        <v>8055</v>
      </c>
      <c r="F27" s="4" t="n">
        <v>403</v>
      </c>
      <c r="G27" s="4" t="n">
        <v>8.04</v>
      </c>
      <c r="H27" s="4" t="n">
        <v>50.1</v>
      </c>
      <c r="I27" s="4" t="n">
        <v>9.224</v>
      </c>
      <c r="J27" s="4" t="n">
        <v>4.236</v>
      </c>
      <c r="K27" s="4" t="n">
        <v>4.235</v>
      </c>
      <c r="L27" s="4" t="n">
        <v>1.147</v>
      </c>
      <c r="M27" s="4" t="n">
        <v>2.294</v>
      </c>
      <c r="N27" s="4" t="n">
        <v>0.699</v>
      </c>
      <c r="O27" s="4" t="n">
        <v>1.325</v>
      </c>
      <c r="P27" s="4" t="n">
        <v>0.35</v>
      </c>
      <c r="Q27" s="4" t="n">
        <v>0.35</v>
      </c>
      <c r="R27" s="4" t="n">
        <v>1</v>
      </c>
      <c r="S27" s="11" t="b">
        <f aca="false">FALSE()</f>
        <v>0</v>
      </c>
      <c r="T27" s="11" t="b">
        <f aca="false">FALSE()</f>
        <v>0</v>
      </c>
      <c r="U27" s="4" t="n">
        <v>0</v>
      </c>
      <c r="V27" s="11" t="b">
        <f aca="false">FALSE()</f>
        <v>0</v>
      </c>
      <c r="W27" s="4" t="s">
        <v>116</v>
      </c>
    </row>
    <row r="28" customFormat="false" ht="15" hidden="false" customHeight="false" outlineLevel="0" collapsed="false">
      <c r="A28" s="5" t="n">
        <v>26</v>
      </c>
      <c r="B28" s="5" t="n">
        <v>0.35</v>
      </c>
      <c r="C28" s="10" t="b">
        <f aca="false">FALSE()</f>
        <v>0</v>
      </c>
      <c r="D28" s="5" t="n">
        <v>2017</v>
      </c>
      <c r="E28" s="5" t="n">
        <v>8042</v>
      </c>
      <c r="F28" s="5" t="n">
        <v>402</v>
      </c>
      <c r="G28" s="5" t="n">
        <v>8.02</v>
      </c>
      <c r="H28" s="5" t="n">
        <v>50.1</v>
      </c>
      <c r="I28" s="5" t="n">
        <v>9.621</v>
      </c>
      <c r="J28" s="5" t="n">
        <v>4.521</v>
      </c>
      <c r="K28" s="5" t="n">
        <v>4.521</v>
      </c>
      <c r="L28" s="5" t="n">
        <v>1.2</v>
      </c>
      <c r="M28" s="5" t="n">
        <v>2.342</v>
      </c>
      <c r="N28" s="5" t="n">
        <v>0.69</v>
      </c>
      <c r="O28" s="5" t="n">
        <v>1.389</v>
      </c>
      <c r="P28" s="5" t="n">
        <v>0.3496</v>
      </c>
      <c r="Q28" s="5" t="n">
        <v>0.3496</v>
      </c>
      <c r="R28" s="5" t="n">
        <v>1</v>
      </c>
      <c r="S28" s="10" t="b">
        <f aca="false">FALSE()</f>
        <v>0</v>
      </c>
      <c r="T28" s="10" t="b">
        <f aca="false">FALSE()</f>
        <v>0</v>
      </c>
      <c r="U28" s="5" t="n">
        <v>0</v>
      </c>
      <c r="V28" s="10" t="b">
        <f aca="false">FALSE()</f>
        <v>0</v>
      </c>
      <c r="W28" s="5" t="s">
        <v>116</v>
      </c>
    </row>
    <row r="29" customFormat="false" ht="15" hidden="false" customHeight="false" outlineLevel="0" collapsed="false">
      <c r="A29" s="4" t="n">
        <v>27</v>
      </c>
      <c r="B29" s="4" t="n">
        <v>0.7</v>
      </c>
      <c r="C29" s="11" t="b">
        <f aca="false">FALSE()</f>
        <v>0</v>
      </c>
      <c r="D29" s="4" t="n">
        <v>2585</v>
      </c>
      <c r="E29" s="4" t="n">
        <v>8248</v>
      </c>
      <c r="F29" s="4" t="n">
        <v>412</v>
      </c>
      <c r="G29" s="4" t="n">
        <v>8.22</v>
      </c>
      <c r="H29" s="4" t="n">
        <v>50.1</v>
      </c>
      <c r="I29" s="4" t="n">
        <v>9.205</v>
      </c>
      <c r="J29" s="4" t="n">
        <v>4.275</v>
      </c>
      <c r="K29" s="4" t="n">
        <v>4.275</v>
      </c>
      <c r="L29" s="4" t="n">
        <v>1.12</v>
      </c>
      <c r="M29" s="4" t="n">
        <v>2.097</v>
      </c>
      <c r="N29" s="4" t="n">
        <v>1.392</v>
      </c>
      <c r="O29" s="4" t="n">
        <v>1.237</v>
      </c>
      <c r="P29" s="4" t="n">
        <v>0.7</v>
      </c>
      <c r="Q29" s="4" t="n">
        <v>0.7</v>
      </c>
      <c r="R29" s="4" t="n">
        <v>1</v>
      </c>
      <c r="S29" s="11" t="b">
        <f aca="false">FALSE()</f>
        <v>0</v>
      </c>
      <c r="T29" s="11" t="b">
        <f aca="false">FALSE()</f>
        <v>0</v>
      </c>
      <c r="U29" s="4" t="n">
        <v>0</v>
      </c>
      <c r="V29" s="11" t="b">
        <f aca="false">FALSE()</f>
        <v>0</v>
      </c>
      <c r="W29" s="4" t="s">
        <v>116</v>
      </c>
    </row>
    <row r="30" customFormat="false" ht="15" hidden="false" customHeight="false" outlineLevel="0" collapsed="false">
      <c r="A30" s="5" t="n">
        <v>28</v>
      </c>
      <c r="B30" s="5" t="n">
        <v>0.7</v>
      </c>
      <c r="C30" s="10" t="b">
        <f aca="false">FALSE()</f>
        <v>0</v>
      </c>
      <c r="D30" s="5" t="n">
        <v>2753</v>
      </c>
      <c r="E30" s="5" t="n">
        <v>9111</v>
      </c>
      <c r="F30" s="5" t="n">
        <v>456</v>
      </c>
      <c r="G30" s="5" t="n">
        <v>9.1</v>
      </c>
      <c r="H30" s="5" t="n">
        <v>50.1</v>
      </c>
      <c r="I30" s="5" t="n">
        <v>9.698</v>
      </c>
      <c r="J30" s="5" t="n">
        <v>4.01</v>
      </c>
      <c r="K30" s="5" t="n">
        <v>4.01</v>
      </c>
      <c r="L30" s="5" t="n">
        <v>1.066</v>
      </c>
      <c r="M30" s="5" t="n">
        <v>1.952</v>
      </c>
      <c r="N30" s="5" t="n">
        <v>1.395</v>
      </c>
      <c r="O30" s="5" t="n">
        <v>1.262</v>
      </c>
      <c r="P30" s="5" t="n">
        <v>0.7</v>
      </c>
      <c r="Q30" s="5" t="n">
        <v>0.7</v>
      </c>
      <c r="R30" s="5" t="n">
        <v>1</v>
      </c>
      <c r="S30" s="10" t="b">
        <f aca="false">FALSE()</f>
        <v>0</v>
      </c>
      <c r="T30" s="10" t="b">
        <f aca="false">FALSE()</f>
        <v>0</v>
      </c>
      <c r="U30" s="5" t="n">
        <v>0</v>
      </c>
      <c r="V30" s="10" t="b">
        <f aca="false">FALSE()</f>
        <v>0</v>
      </c>
      <c r="W30" s="5" t="s">
        <v>116</v>
      </c>
    </row>
    <row r="31" customFormat="false" ht="15" hidden="false" customHeight="false" outlineLevel="0" collapsed="false">
      <c r="A31" s="4" t="n">
        <v>29</v>
      </c>
      <c r="B31" s="4" t="n">
        <v>0.35</v>
      </c>
      <c r="C31" s="11" t="b">
        <f aca="false">FALSE()</f>
        <v>0</v>
      </c>
      <c r="D31" s="4" t="n">
        <v>2086</v>
      </c>
      <c r="E31" s="4" t="n">
        <v>8194</v>
      </c>
      <c r="F31" s="4" t="n">
        <v>410</v>
      </c>
      <c r="G31" s="4" t="n">
        <v>8.18</v>
      </c>
      <c r="H31" s="4" t="n">
        <v>50.1</v>
      </c>
      <c r="I31" s="4" t="n">
        <v>8.977</v>
      </c>
      <c r="J31" s="4" t="n">
        <v>4.004</v>
      </c>
      <c r="K31" s="4" t="n">
        <v>4.004</v>
      </c>
      <c r="L31" s="4" t="n">
        <v>1.097</v>
      </c>
      <c r="M31" s="4" t="n">
        <v>2.101</v>
      </c>
      <c r="N31" s="4" t="n">
        <v>0.696</v>
      </c>
      <c r="O31" s="4" t="n">
        <v>1.563</v>
      </c>
      <c r="P31" s="4" t="n">
        <v>0.3501</v>
      </c>
      <c r="Q31" s="4" t="n">
        <v>0.3501</v>
      </c>
      <c r="R31" s="4" t="n">
        <v>1</v>
      </c>
      <c r="S31" s="11" t="b">
        <f aca="false">FALSE()</f>
        <v>0</v>
      </c>
      <c r="T31" s="11" t="b">
        <f aca="false">FALSE()</f>
        <v>0</v>
      </c>
      <c r="U31" s="4" t="n">
        <v>0</v>
      </c>
      <c r="V31" s="11" t="b">
        <f aca="false">FALSE()</f>
        <v>0</v>
      </c>
      <c r="W31" s="4" t="s">
        <v>116</v>
      </c>
    </row>
    <row r="32" customFormat="false" ht="15" hidden="false" customHeight="false" outlineLevel="0" collapsed="false">
      <c r="A32" s="5" t="n">
        <v>30</v>
      </c>
      <c r="B32" s="5" t="n">
        <v>0.35</v>
      </c>
      <c r="C32" s="10" t="b">
        <f aca="false">FALSE()</f>
        <v>0</v>
      </c>
      <c r="D32" s="5" t="n">
        <v>2017</v>
      </c>
      <c r="E32" s="5" t="n">
        <v>8430</v>
      </c>
      <c r="F32" s="5" t="n">
        <v>421</v>
      </c>
      <c r="G32" s="5" t="n">
        <v>8.4</v>
      </c>
      <c r="H32" s="5" t="n">
        <v>50.1</v>
      </c>
      <c r="I32" s="5" t="n">
        <v>9.993</v>
      </c>
      <c r="J32" s="5" t="n">
        <v>4.198</v>
      </c>
      <c r="K32" s="5" t="n">
        <v>4.198</v>
      </c>
      <c r="L32" s="5" t="n">
        <v>1.19</v>
      </c>
      <c r="M32" s="5" t="n">
        <v>4.592</v>
      </c>
      <c r="N32" s="5" t="n">
        <v>0.684</v>
      </c>
      <c r="O32" s="5" t="n">
        <v>1.724</v>
      </c>
      <c r="P32" s="5" t="n">
        <v>0.35</v>
      </c>
      <c r="Q32" s="5" t="n">
        <v>0.35</v>
      </c>
      <c r="R32" s="5" t="n">
        <v>1</v>
      </c>
      <c r="S32" s="10" t="b">
        <f aca="false">FALSE()</f>
        <v>0</v>
      </c>
      <c r="T32" s="10" t="b">
        <f aca="false">FALSE()</f>
        <v>0</v>
      </c>
      <c r="U32" s="5" t="n">
        <v>0</v>
      </c>
      <c r="V32" s="10" t="b">
        <f aca="false">FALSE()</f>
        <v>0</v>
      </c>
      <c r="W32" s="5" t="s">
        <v>116</v>
      </c>
    </row>
    <row r="33" customFormat="false" ht="15" hidden="false" customHeight="false" outlineLevel="0" collapsed="false">
      <c r="A33" s="4" t="n">
        <v>31</v>
      </c>
      <c r="B33" s="4" t="n">
        <v>0.7</v>
      </c>
      <c r="C33" s="11" t="b">
        <f aca="false">FALSE()</f>
        <v>0</v>
      </c>
      <c r="D33" s="4" t="n">
        <v>2724</v>
      </c>
      <c r="E33" s="4" t="n">
        <v>8984</v>
      </c>
      <c r="F33" s="4" t="n">
        <v>449</v>
      </c>
      <c r="G33" s="4" t="n">
        <v>8.96</v>
      </c>
      <c r="H33" s="4" t="n">
        <v>50.1</v>
      </c>
      <c r="I33" s="4" t="n">
        <v>9.098</v>
      </c>
      <c r="J33" s="4" t="n">
        <v>4.161</v>
      </c>
      <c r="K33" s="4" t="n">
        <v>4.161</v>
      </c>
      <c r="L33" s="4" t="n">
        <v>1.015</v>
      </c>
      <c r="M33" s="4" t="n">
        <v>2.016</v>
      </c>
      <c r="N33" s="4" t="n">
        <v>1.385</v>
      </c>
      <c r="O33" s="4" t="n">
        <v>1.077</v>
      </c>
      <c r="P33" s="4" t="n">
        <v>0.7</v>
      </c>
      <c r="Q33" s="4" t="n">
        <v>0.7</v>
      </c>
      <c r="R33" s="4" t="n">
        <v>1</v>
      </c>
      <c r="S33" s="11" t="b">
        <f aca="false">FALSE()</f>
        <v>0</v>
      </c>
      <c r="T33" s="11" t="b">
        <f aca="false">FALSE()</f>
        <v>0</v>
      </c>
      <c r="U33" s="4" t="n">
        <v>0</v>
      </c>
      <c r="V33" s="11" t="b">
        <f aca="false">FALSE()</f>
        <v>0</v>
      </c>
      <c r="W33" s="4" t="s">
        <v>116</v>
      </c>
    </row>
    <row r="34" customFormat="false" ht="15" hidden="false" customHeight="false" outlineLevel="0" collapsed="false">
      <c r="A34" s="5" t="n">
        <v>32</v>
      </c>
      <c r="B34" s="5" t="n">
        <v>0.7</v>
      </c>
      <c r="C34" s="10" t="b">
        <f aca="false">FALSE()</f>
        <v>0</v>
      </c>
      <c r="D34" s="5" t="n">
        <v>2446</v>
      </c>
      <c r="E34" s="5" t="n">
        <v>8778</v>
      </c>
      <c r="F34" s="5" t="n">
        <v>439</v>
      </c>
      <c r="G34" s="5" t="n">
        <v>8.76</v>
      </c>
      <c r="H34" s="5" t="n">
        <v>50.1</v>
      </c>
      <c r="I34" s="5" t="n">
        <v>9.7</v>
      </c>
      <c r="J34" s="5" t="n">
        <v>3.967</v>
      </c>
      <c r="K34" s="5" t="n">
        <v>3.967</v>
      </c>
      <c r="L34" s="5" t="n">
        <v>1.107</v>
      </c>
      <c r="M34" s="5" t="n">
        <v>2.156</v>
      </c>
      <c r="N34" s="5" t="n">
        <v>1.394</v>
      </c>
      <c r="O34" s="5" t="n">
        <v>1.555</v>
      </c>
      <c r="P34" s="5" t="n">
        <v>0.7</v>
      </c>
      <c r="Q34" s="5" t="n">
        <v>0.7</v>
      </c>
      <c r="R34" s="5" t="n">
        <v>1</v>
      </c>
      <c r="S34" s="10" t="b">
        <f aca="false">FALSE()</f>
        <v>0</v>
      </c>
      <c r="T34" s="10" t="b">
        <f aca="false">FALSE()</f>
        <v>0</v>
      </c>
      <c r="U34" s="5" t="n">
        <v>0</v>
      </c>
      <c r="V34" s="10" t="b">
        <f aca="false">FALSE()</f>
        <v>0</v>
      </c>
      <c r="W34" s="5" t="s">
        <v>116</v>
      </c>
    </row>
    <row r="35" customFormat="false" ht="15" hidden="false" customHeight="false" outlineLevel="0" collapsed="false">
      <c r="A35" s="4" t="n">
        <v>33</v>
      </c>
      <c r="B35" s="4" t="n">
        <v>0.35</v>
      </c>
      <c r="C35" s="11" t="b">
        <f aca="false">FALSE()</f>
        <v>0</v>
      </c>
      <c r="D35" s="4" t="n">
        <v>2224</v>
      </c>
      <c r="E35" s="4" t="n">
        <v>9346</v>
      </c>
      <c r="F35" s="4" t="n">
        <v>468</v>
      </c>
      <c r="G35" s="4" t="n">
        <v>9.34</v>
      </c>
      <c r="H35" s="4" t="n">
        <v>50.1</v>
      </c>
      <c r="I35" s="4" t="n">
        <v>9.374</v>
      </c>
      <c r="J35" s="4" t="n">
        <v>4.001</v>
      </c>
      <c r="K35" s="4" t="n">
        <v>4.001</v>
      </c>
      <c r="L35" s="4" t="n">
        <v>1.004</v>
      </c>
      <c r="M35" s="4" t="n">
        <v>2.15</v>
      </c>
      <c r="N35" s="4" t="n">
        <v>0.69</v>
      </c>
      <c r="O35" s="4" t="n">
        <v>1.15</v>
      </c>
      <c r="P35" s="4" t="n">
        <v>0.35</v>
      </c>
      <c r="Q35" s="4" t="n">
        <v>0.35</v>
      </c>
      <c r="R35" s="4" t="n">
        <v>1</v>
      </c>
      <c r="S35" s="11" t="b">
        <f aca="false">FALSE()</f>
        <v>0</v>
      </c>
      <c r="T35" s="11" t="b">
        <f aca="false">FALSE()</f>
        <v>0</v>
      </c>
      <c r="U35" s="4" t="n">
        <v>0</v>
      </c>
      <c r="V35" s="11" t="b">
        <f aca="false">FALSE()</f>
        <v>0</v>
      </c>
      <c r="W35" s="4" t="s">
        <v>116</v>
      </c>
    </row>
    <row r="36" customFormat="false" ht="15" hidden="false" customHeight="false" outlineLevel="0" collapsed="false">
      <c r="A36" s="5" t="n">
        <v>34</v>
      </c>
      <c r="B36" s="5" t="n">
        <v>0.35</v>
      </c>
      <c r="C36" s="10" t="b">
        <f aca="false">FALSE()</f>
        <v>0</v>
      </c>
      <c r="D36" s="5" t="n">
        <v>2280</v>
      </c>
      <c r="E36" s="5" t="n">
        <v>9389</v>
      </c>
      <c r="F36" s="5" t="n">
        <v>469</v>
      </c>
      <c r="G36" s="5" t="n">
        <v>9.36</v>
      </c>
      <c r="H36" s="5" t="n">
        <v>50.1</v>
      </c>
      <c r="I36" s="5" t="n">
        <v>9.477</v>
      </c>
      <c r="J36" s="5" t="n">
        <v>4.032</v>
      </c>
      <c r="K36" s="5" t="n">
        <v>4.032</v>
      </c>
      <c r="L36" s="5" t="n">
        <v>1.012</v>
      </c>
      <c r="M36" s="5" t="n">
        <v>1.845</v>
      </c>
      <c r="N36" s="5" t="n">
        <v>0.693</v>
      </c>
      <c r="O36" s="5" t="n">
        <v>1.236</v>
      </c>
      <c r="P36" s="5" t="n">
        <v>0.35</v>
      </c>
      <c r="Q36" s="5" t="n">
        <v>0.35</v>
      </c>
      <c r="R36" s="5" t="n">
        <v>1</v>
      </c>
      <c r="S36" s="10" t="b">
        <f aca="false">FALSE()</f>
        <v>0</v>
      </c>
      <c r="T36" s="10" t="b">
        <f aca="false">FALSE()</f>
        <v>0</v>
      </c>
      <c r="U36" s="5" t="n">
        <v>0</v>
      </c>
      <c r="V36" s="10" t="b">
        <f aca="false">FALSE()</f>
        <v>0</v>
      </c>
      <c r="W36" s="5" t="s">
        <v>116</v>
      </c>
    </row>
    <row r="37" customFormat="false" ht="15" hidden="false" customHeight="false" outlineLevel="0" collapsed="false">
      <c r="A37" s="4" t="n">
        <v>35</v>
      </c>
      <c r="B37" s="4" t="n">
        <v>0.7</v>
      </c>
      <c r="C37" s="11" t="b">
        <f aca="false">FALSE()</f>
        <v>0</v>
      </c>
      <c r="D37" s="4" t="n">
        <v>2918</v>
      </c>
      <c r="E37" s="4" t="n">
        <v>9388</v>
      </c>
      <c r="F37" s="4" t="n">
        <v>469</v>
      </c>
      <c r="G37" s="4" t="n">
        <v>9.36</v>
      </c>
      <c r="H37" s="4" t="n">
        <v>50.1</v>
      </c>
      <c r="I37" s="4" t="n">
        <v>9.08</v>
      </c>
      <c r="J37" s="4" t="n">
        <v>3.987</v>
      </c>
      <c r="K37" s="4" t="n">
        <v>3.987</v>
      </c>
      <c r="L37" s="4" t="n">
        <v>0.97</v>
      </c>
      <c r="M37" s="4" t="n">
        <v>1.792</v>
      </c>
      <c r="N37" s="4" t="n">
        <v>1.375</v>
      </c>
      <c r="O37" s="4" t="n">
        <v>0.901</v>
      </c>
      <c r="P37" s="4" t="n">
        <v>0.7</v>
      </c>
      <c r="Q37" s="4" t="n">
        <v>0.7</v>
      </c>
      <c r="R37" s="4" t="n">
        <v>1</v>
      </c>
      <c r="S37" s="11" t="b">
        <f aca="false">FALSE()</f>
        <v>0</v>
      </c>
      <c r="T37" s="11" t="b">
        <f aca="false">FALSE()</f>
        <v>0</v>
      </c>
      <c r="U37" s="4" t="n">
        <v>0</v>
      </c>
      <c r="V37" s="11" t="b">
        <f aca="false">FALSE()</f>
        <v>0</v>
      </c>
      <c r="W37" s="4" t="s">
        <v>116</v>
      </c>
    </row>
    <row r="38" customFormat="false" ht="15" hidden="false" customHeight="false" outlineLevel="0" collapsed="false">
      <c r="A38" s="5" t="n">
        <v>36</v>
      </c>
      <c r="B38" s="5" t="n">
        <v>0.7</v>
      </c>
      <c r="C38" s="10" t="b">
        <f aca="false">FALSE()</f>
        <v>0</v>
      </c>
      <c r="D38" s="5" t="n">
        <v>2739</v>
      </c>
      <c r="E38" s="5" t="n">
        <v>9639</v>
      </c>
      <c r="F38" s="5" t="n">
        <v>482</v>
      </c>
      <c r="G38" s="5" t="n">
        <v>9.62</v>
      </c>
      <c r="H38" s="5" t="n">
        <v>50.1</v>
      </c>
      <c r="I38" s="5" t="n">
        <v>9.599</v>
      </c>
      <c r="J38" s="5" t="n">
        <v>3.975</v>
      </c>
      <c r="K38" s="5" t="n">
        <v>3.974</v>
      </c>
      <c r="L38" s="5" t="n">
        <v>0.998</v>
      </c>
      <c r="M38" s="5" t="n">
        <v>3.015</v>
      </c>
      <c r="N38" s="5" t="n">
        <v>1.372</v>
      </c>
      <c r="O38" s="5" t="n">
        <v>1.067</v>
      </c>
      <c r="P38" s="5" t="n">
        <v>0.6999</v>
      </c>
      <c r="Q38" s="5" t="n">
        <v>0.6999</v>
      </c>
      <c r="R38" s="5" t="n">
        <v>1</v>
      </c>
      <c r="S38" s="10" t="b">
        <f aca="false">FALSE()</f>
        <v>0</v>
      </c>
      <c r="T38" s="10" t="b">
        <f aca="false">FALSE()</f>
        <v>0</v>
      </c>
      <c r="U38" s="5" t="n">
        <v>0</v>
      </c>
      <c r="V38" s="10" t="b">
        <f aca="false">FALSE()</f>
        <v>0</v>
      </c>
      <c r="W38" s="5" t="s">
        <v>116</v>
      </c>
    </row>
    <row r="39" customFormat="false" ht="15" hidden="false" customHeight="false" outlineLevel="0" collapsed="false">
      <c r="A39" s="4" t="n">
        <v>37</v>
      </c>
      <c r="B39" s="4" t="n">
        <v>0.35</v>
      </c>
      <c r="C39" s="11" t="b">
        <f aca="false">FALSE()</f>
        <v>0</v>
      </c>
      <c r="D39" s="4" t="n">
        <v>2085</v>
      </c>
      <c r="E39" s="4" t="n">
        <v>13692</v>
      </c>
      <c r="F39" s="4" t="n">
        <v>685</v>
      </c>
      <c r="G39" s="4" t="n">
        <v>13.68</v>
      </c>
      <c r="H39" s="4" t="n">
        <v>50.1</v>
      </c>
      <c r="I39" s="4" t="n">
        <v>9.112</v>
      </c>
      <c r="J39" s="4" t="n">
        <v>4.001</v>
      </c>
      <c r="K39" s="4" t="n">
        <v>4.001</v>
      </c>
      <c r="L39" s="4" t="n">
        <v>0.666</v>
      </c>
      <c r="M39" s="4" t="n">
        <v>1.983</v>
      </c>
      <c r="N39" s="4" t="n">
        <v>0.695</v>
      </c>
      <c r="O39" s="4" t="n">
        <v>1.465</v>
      </c>
      <c r="P39" s="4" t="n">
        <v>0.35</v>
      </c>
      <c r="Q39" s="4" t="n">
        <v>0.35</v>
      </c>
      <c r="R39" s="4" t="n">
        <v>1</v>
      </c>
      <c r="S39" s="11" t="b">
        <f aca="false">FALSE()</f>
        <v>0</v>
      </c>
      <c r="T39" s="11" t="b">
        <f aca="false">FALSE()</f>
        <v>0</v>
      </c>
      <c r="U39" s="4" t="n">
        <v>0</v>
      </c>
      <c r="V39" s="11" t="b">
        <f aca="false">FALSE()</f>
        <v>0</v>
      </c>
      <c r="W39" s="4" t="s">
        <v>116</v>
      </c>
    </row>
    <row r="40" customFormat="false" ht="15" hidden="false" customHeight="false" outlineLevel="0" collapsed="false">
      <c r="A40" s="5" t="n">
        <v>38</v>
      </c>
      <c r="B40" s="5" t="n">
        <v>0.35</v>
      </c>
      <c r="C40" s="10" t="b">
        <f aca="false">FALSE()</f>
        <v>0</v>
      </c>
      <c r="D40" s="5" t="n">
        <v>2281</v>
      </c>
      <c r="E40" s="5" t="n">
        <v>9445</v>
      </c>
      <c r="F40" s="5" t="n">
        <v>472</v>
      </c>
      <c r="G40" s="5" t="n">
        <v>9.42</v>
      </c>
      <c r="H40" s="5" t="n">
        <v>50.1</v>
      </c>
      <c r="I40" s="5" t="n">
        <v>9.378</v>
      </c>
      <c r="J40" s="5" t="n">
        <v>4.009</v>
      </c>
      <c r="K40" s="5" t="n">
        <v>4.009</v>
      </c>
      <c r="L40" s="5" t="n">
        <v>0.996</v>
      </c>
      <c r="M40" s="5" t="n">
        <v>2.085</v>
      </c>
      <c r="N40" s="5" t="n">
        <v>0.691</v>
      </c>
      <c r="O40" s="5" t="n">
        <v>0.913</v>
      </c>
      <c r="P40" s="5" t="n">
        <v>0.35</v>
      </c>
      <c r="Q40" s="5" t="n">
        <v>0.35</v>
      </c>
      <c r="R40" s="5" t="n">
        <v>1</v>
      </c>
      <c r="S40" s="10" t="b">
        <f aca="false">FALSE()</f>
        <v>0</v>
      </c>
      <c r="T40" s="10" t="b">
        <f aca="false">FALSE()</f>
        <v>0</v>
      </c>
      <c r="U40" s="5" t="n">
        <v>0</v>
      </c>
      <c r="V40" s="10" t="b">
        <f aca="false">FALSE()</f>
        <v>0</v>
      </c>
      <c r="W40" s="5" t="s">
        <v>116</v>
      </c>
    </row>
    <row r="41" customFormat="false" ht="15" hidden="false" customHeight="false" outlineLevel="0" collapsed="false">
      <c r="A41" s="4" t="n">
        <v>39</v>
      </c>
      <c r="B41" s="4" t="n">
        <v>0.7</v>
      </c>
      <c r="C41" s="11" t="b">
        <f aca="false">FALSE()</f>
        <v>0</v>
      </c>
      <c r="D41" s="4" t="n">
        <v>3015</v>
      </c>
      <c r="E41" s="4" t="n">
        <v>9401</v>
      </c>
      <c r="F41" s="4" t="n">
        <v>470</v>
      </c>
      <c r="G41" s="4" t="n">
        <v>9.38</v>
      </c>
      <c r="H41" s="4" t="n">
        <v>50.1</v>
      </c>
      <c r="I41" s="4" t="n">
        <v>9.014</v>
      </c>
      <c r="J41" s="4" t="n">
        <v>3.985</v>
      </c>
      <c r="K41" s="4" t="n">
        <v>3.985</v>
      </c>
      <c r="L41" s="4" t="n">
        <v>0.961</v>
      </c>
      <c r="M41" s="4" t="n">
        <v>1.819</v>
      </c>
      <c r="N41" s="4" t="n">
        <v>1.385</v>
      </c>
      <c r="O41" s="4" t="n">
        <v>0.869</v>
      </c>
      <c r="P41" s="4" t="n">
        <v>0.7</v>
      </c>
      <c r="Q41" s="4" t="n">
        <v>0.7</v>
      </c>
      <c r="R41" s="4" t="n">
        <v>1</v>
      </c>
      <c r="S41" s="11" t="b">
        <f aca="false">FALSE()</f>
        <v>0</v>
      </c>
      <c r="T41" s="11" t="b">
        <f aca="false">FALSE()</f>
        <v>0</v>
      </c>
      <c r="U41" s="4" t="n">
        <v>0</v>
      </c>
      <c r="V41" s="11" t="b">
        <f aca="false">FALSE()</f>
        <v>0</v>
      </c>
      <c r="W41" s="4" t="s">
        <v>116</v>
      </c>
    </row>
    <row r="42" customFormat="false" ht="15" hidden="false" customHeight="false" outlineLevel="0" collapsed="false">
      <c r="A42" s="12" t="n">
        <v>40</v>
      </c>
      <c r="B42" s="12" t="n">
        <v>0.7</v>
      </c>
      <c r="C42" s="13" t="b">
        <f aca="false">TRUE()</f>
        <v>1</v>
      </c>
      <c r="D42" s="12" t="n">
        <v>3031</v>
      </c>
      <c r="E42" s="12" t="n">
        <v>85050</v>
      </c>
      <c r="F42" s="12" t="n">
        <v>4253</v>
      </c>
      <c r="G42" s="12" t="n">
        <v>85.04</v>
      </c>
      <c r="H42" s="12" t="n">
        <v>50</v>
      </c>
      <c r="I42" s="12" t="n">
        <v>35.201</v>
      </c>
      <c r="J42" s="12" t="n">
        <v>4.001</v>
      </c>
      <c r="K42" s="12" t="n">
        <v>4.001</v>
      </c>
      <c r="L42" s="12" t="n">
        <v>0.414</v>
      </c>
      <c r="M42" s="12" t="n">
        <v>1.722</v>
      </c>
      <c r="N42" s="12" t="n">
        <v>1.393</v>
      </c>
      <c r="O42" s="12" t="n">
        <v>0.896</v>
      </c>
      <c r="P42" s="12" t="n">
        <v>0.7</v>
      </c>
      <c r="Q42" s="12" t="n">
        <v>0.7</v>
      </c>
      <c r="R42" s="12" t="n">
        <v>1</v>
      </c>
      <c r="S42" s="13" t="b">
        <f aca="false">TRUE()</f>
        <v>1</v>
      </c>
      <c r="T42" s="13" t="b">
        <f aca="false">TRUE()</f>
        <v>1</v>
      </c>
      <c r="U42" s="12" t="n">
        <v>1</v>
      </c>
      <c r="V42" s="13" t="b">
        <f aca="false">FALSE()</f>
        <v>0</v>
      </c>
      <c r="W42" s="12" t="s">
        <v>120</v>
      </c>
    </row>
    <row r="43" customFormat="false" ht="15" hidden="false" customHeight="false" outlineLevel="0" collapsed="false">
      <c r="A43" s="4" t="n">
        <v>41</v>
      </c>
      <c r="B43" s="4" t="n">
        <v>0.35</v>
      </c>
      <c r="C43" s="11" t="b">
        <f aca="false">FALSE()</f>
        <v>0</v>
      </c>
      <c r="D43" s="4" t="n">
        <v>2656</v>
      </c>
      <c r="E43" s="4" t="n">
        <v>9680</v>
      </c>
      <c r="F43" s="4" t="n">
        <v>484</v>
      </c>
      <c r="G43" s="4" t="n">
        <v>9.66</v>
      </c>
      <c r="H43" s="4" t="n">
        <v>50.1</v>
      </c>
      <c r="I43" s="4" t="n">
        <v>9.125</v>
      </c>
      <c r="J43" s="4" t="n">
        <v>4</v>
      </c>
      <c r="K43" s="4" t="n">
        <v>4</v>
      </c>
      <c r="L43" s="4" t="n">
        <v>0.945</v>
      </c>
      <c r="M43" s="4" t="n">
        <v>1.758</v>
      </c>
      <c r="N43" s="4" t="n">
        <v>0.687</v>
      </c>
      <c r="O43" s="4" t="n">
        <v>1.023</v>
      </c>
      <c r="P43" s="4" t="n">
        <v>0.35</v>
      </c>
      <c r="Q43" s="4" t="n">
        <v>0.35</v>
      </c>
      <c r="R43" s="4" t="n">
        <v>1</v>
      </c>
      <c r="S43" s="11" t="b">
        <f aca="false">FALSE()</f>
        <v>0</v>
      </c>
      <c r="T43" s="11" t="b">
        <f aca="false">FALSE()</f>
        <v>0</v>
      </c>
      <c r="U43" s="4" t="n">
        <v>0</v>
      </c>
      <c r="V43" s="11" t="b">
        <f aca="false">FALSE()</f>
        <v>0</v>
      </c>
      <c r="W43" s="4" t="s">
        <v>116</v>
      </c>
    </row>
    <row r="44" customFormat="false" ht="15" hidden="false" customHeight="false" outlineLevel="0" collapsed="false">
      <c r="A44" s="5" t="n">
        <v>42</v>
      </c>
      <c r="B44" s="5" t="n">
        <v>0.35</v>
      </c>
      <c r="C44" s="10" t="b">
        <f aca="false">FALSE()</f>
        <v>0</v>
      </c>
      <c r="D44" s="5" t="n">
        <v>2390</v>
      </c>
      <c r="E44" s="5" t="n">
        <v>10665</v>
      </c>
      <c r="F44" s="5" t="n">
        <v>533</v>
      </c>
      <c r="G44" s="5" t="n">
        <v>10.64</v>
      </c>
      <c r="H44" s="5" t="n">
        <v>50.1</v>
      </c>
      <c r="I44" s="5" t="n">
        <v>9.571</v>
      </c>
      <c r="J44" s="5" t="n">
        <v>3.986</v>
      </c>
      <c r="K44" s="5" t="n">
        <v>3.986</v>
      </c>
      <c r="L44" s="5" t="n">
        <v>0.9</v>
      </c>
      <c r="M44" s="5" t="n">
        <v>1.723</v>
      </c>
      <c r="N44" s="5" t="n">
        <v>0.682</v>
      </c>
      <c r="O44" s="5" t="n">
        <v>0.88</v>
      </c>
      <c r="P44" s="5" t="n">
        <v>0.35</v>
      </c>
      <c r="Q44" s="5" t="n">
        <v>0.35</v>
      </c>
      <c r="R44" s="5" t="n">
        <v>1</v>
      </c>
      <c r="S44" s="10" t="b">
        <f aca="false">FALSE()</f>
        <v>0</v>
      </c>
      <c r="T44" s="10" t="b">
        <f aca="false">FALSE()</f>
        <v>0</v>
      </c>
      <c r="U44" s="5" t="n">
        <v>0</v>
      </c>
      <c r="V44" s="10" t="b">
        <f aca="false">FALSE()</f>
        <v>0</v>
      </c>
      <c r="W44" s="5" t="s">
        <v>116</v>
      </c>
    </row>
    <row r="45" customFormat="false" ht="15" hidden="false" customHeight="false" outlineLevel="0" collapsed="false">
      <c r="A45" s="4" t="n">
        <v>43</v>
      </c>
      <c r="B45" s="4" t="n">
        <v>0.35</v>
      </c>
      <c r="C45" s="11" t="b">
        <f aca="false">FALSE()</f>
        <v>0</v>
      </c>
      <c r="D45" s="4" t="n">
        <v>2392</v>
      </c>
      <c r="E45" s="4" t="n">
        <v>9861</v>
      </c>
      <c r="F45" s="4" t="n">
        <v>493</v>
      </c>
      <c r="G45" s="4" t="n">
        <v>9.84</v>
      </c>
      <c r="H45" s="4" t="n">
        <v>50.1</v>
      </c>
      <c r="I45" s="4" t="n">
        <v>9.327</v>
      </c>
      <c r="J45" s="4" t="n">
        <v>4.001</v>
      </c>
      <c r="K45" s="4" t="n">
        <v>4.001</v>
      </c>
      <c r="L45" s="4" t="n">
        <v>0.948</v>
      </c>
      <c r="M45" s="4" t="n">
        <v>1.815</v>
      </c>
      <c r="N45" s="4" t="n">
        <v>0.676</v>
      </c>
      <c r="O45" s="4" t="n">
        <v>0.932</v>
      </c>
      <c r="P45" s="4" t="n">
        <v>0.35</v>
      </c>
      <c r="Q45" s="4" t="n">
        <v>0.35</v>
      </c>
      <c r="R45" s="4" t="n">
        <v>1</v>
      </c>
      <c r="S45" s="11" t="b">
        <f aca="false">FALSE()</f>
        <v>0</v>
      </c>
      <c r="T45" s="11" t="b">
        <f aca="false">FALSE()</f>
        <v>0</v>
      </c>
      <c r="U45" s="4" t="n">
        <v>0</v>
      </c>
      <c r="V45" s="11" t="b">
        <f aca="false">FALSE()</f>
        <v>0</v>
      </c>
      <c r="W45" s="4" t="s">
        <v>116</v>
      </c>
    </row>
    <row r="46" customFormat="false" ht="15" hidden="false" customHeight="false" outlineLevel="0" collapsed="false">
      <c r="A46" s="5" t="n">
        <v>44</v>
      </c>
      <c r="B46" s="5" t="n">
        <v>0.7</v>
      </c>
      <c r="C46" s="10" t="b">
        <f aca="false">FALSE()</f>
        <v>0</v>
      </c>
      <c r="D46" s="5" t="n">
        <v>3087</v>
      </c>
      <c r="E46" s="5" t="n">
        <v>10014</v>
      </c>
      <c r="F46" s="5" t="n">
        <v>501</v>
      </c>
      <c r="G46" s="5" t="n">
        <v>10</v>
      </c>
      <c r="H46" s="5" t="n">
        <v>50.1</v>
      </c>
      <c r="I46" s="5" t="n">
        <v>9.506</v>
      </c>
      <c r="J46" s="5" t="n">
        <v>4.009</v>
      </c>
      <c r="K46" s="5" t="n">
        <v>4.008</v>
      </c>
      <c r="L46" s="5" t="n">
        <v>0.951</v>
      </c>
      <c r="M46" s="5" t="n">
        <v>1.782</v>
      </c>
      <c r="N46" s="5" t="n">
        <v>1.372</v>
      </c>
      <c r="O46" s="5" t="n">
        <v>0.9</v>
      </c>
      <c r="P46" s="5" t="n">
        <v>0.6998</v>
      </c>
      <c r="Q46" s="5" t="n">
        <v>0.6998</v>
      </c>
      <c r="R46" s="5" t="n">
        <v>1</v>
      </c>
      <c r="S46" s="10" t="b">
        <f aca="false">FALSE()</f>
        <v>0</v>
      </c>
      <c r="T46" s="10" t="b">
        <f aca="false">FALSE()</f>
        <v>0</v>
      </c>
      <c r="U46" s="5" t="n">
        <v>0</v>
      </c>
      <c r="V46" s="10" t="b">
        <f aca="false">FALSE()</f>
        <v>0</v>
      </c>
      <c r="W46" s="5" t="s">
        <v>116</v>
      </c>
    </row>
    <row r="47" customFormat="false" ht="15" hidden="false" customHeight="false" outlineLevel="0" collapsed="false">
      <c r="A47" s="4" t="n">
        <v>45</v>
      </c>
      <c r="B47" s="4" t="n">
        <v>0.7</v>
      </c>
      <c r="C47" s="11" t="b">
        <f aca="false">FALSE()</f>
        <v>0</v>
      </c>
      <c r="D47" s="4" t="n">
        <v>3127</v>
      </c>
      <c r="E47" s="4" t="n">
        <v>9763</v>
      </c>
      <c r="F47" s="4" t="n">
        <v>488</v>
      </c>
      <c r="G47" s="4" t="n">
        <v>9.74</v>
      </c>
      <c r="H47" s="4" t="n">
        <v>50.1</v>
      </c>
      <c r="I47" s="4" t="n">
        <v>9.2</v>
      </c>
      <c r="J47" s="4" t="n">
        <v>3.998</v>
      </c>
      <c r="K47" s="4" t="n">
        <v>3.998</v>
      </c>
      <c r="L47" s="4" t="n">
        <v>0.945</v>
      </c>
      <c r="M47" s="4" t="n">
        <v>1.707</v>
      </c>
      <c r="N47" s="4" t="n">
        <v>1.384</v>
      </c>
      <c r="O47" s="4" t="n">
        <v>0.87</v>
      </c>
      <c r="P47" s="4" t="n">
        <v>0.7</v>
      </c>
      <c r="Q47" s="4" t="n">
        <v>0.7</v>
      </c>
      <c r="R47" s="4" t="n">
        <v>1</v>
      </c>
      <c r="S47" s="11" t="b">
        <f aca="false">FALSE()</f>
        <v>0</v>
      </c>
      <c r="T47" s="11" t="b">
        <f aca="false">FALSE()</f>
        <v>0</v>
      </c>
      <c r="U47" s="4" t="n">
        <v>0</v>
      </c>
      <c r="V47" s="11" t="b">
        <f aca="false">FALSE()</f>
        <v>0</v>
      </c>
      <c r="W47" s="4" t="s">
        <v>116</v>
      </c>
    </row>
    <row r="48" customFormat="false" ht="15" hidden="false" customHeight="false" outlineLevel="0" collapsed="false">
      <c r="A48" s="5" t="n">
        <v>46</v>
      </c>
      <c r="B48" s="5" t="n">
        <v>0.35</v>
      </c>
      <c r="C48" s="10" t="b">
        <f aca="false">FALSE()</f>
        <v>0</v>
      </c>
      <c r="D48" s="5" t="n">
        <v>2710</v>
      </c>
      <c r="E48" s="5" t="n">
        <v>10262</v>
      </c>
      <c r="F48" s="5" t="n">
        <v>513</v>
      </c>
      <c r="G48" s="5" t="n">
        <v>10.24</v>
      </c>
      <c r="H48" s="5" t="n">
        <v>50.1</v>
      </c>
      <c r="I48" s="5" t="n">
        <v>9.304</v>
      </c>
      <c r="J48" s="5" t="n">
        <v>3.995</v>
      </c>
      <c r="K48" s="5" t="n">
        <v>3.995</v>
      </c>
      <c r="L48" s="5" t="n">
        <v>0.909</v>
      </c>
      <c r="M48" s="5" t="n">
        <v>1.644</v>
      </c>
      <c r="N48" s="5" t="n">
        <v>0.682</v>
      </c>
      <c r="O48" s="5" t="n">
        <v>0.852</v>
      </c>
      <c r="P48" s="5" t="n">
        <v>0.35</v>
      </c>
      <c r="Q48" s="5" t="n">
        <v>0.35</v>
      </c>
      <c r="R48" s="5" t="n">
        <v>1</v>
      </c>
      <c r="S48" s="10" t="b">
        <f aca="false">FALSE()</f>
        <v>0</v>
      </c>
      <c r="T48" s="10" t="b">
        <f aca="false">FALSE()</f>
        <v>0</v>
      </c>
      <c r="U48" s="5" t="n">
        <v>0</v>
      </c>
      <c r="V48" s="10" t="b">
        <f aca="false">FALSE()</f>
        <v>0</v>
      </c>
      <c r="W48" s="5" t="s">
        <v>116</v>
      </c>
    </row>
    <row r="49" customFormat="false" ht="15" hidden="false" customHeight="false" outlineLevel="0" collapsed="false">
      <c r="A49" s="4" t="n">
        <v>47</v>
      </c>
      <c r="B49" s="4" t="n">
        <v>0.35</v>
      </c>
      <c r="C49" s="11" t="b">
        <f aca="false">FALSE()</f>
        <v>0</v>
      </c>
      <c r="D49" s="4" t="n">
        <v>2406</v>
      </c>
      <c r="E49" s="4" t="n">
        <v>10375</v>
      </c>
      <c r="F49" s="4" t="n">
        <v>519</v>
      </c>
      <c r="G49" s="4" t="n">
        <v>10.36</v>
      </c>
      <c r="H49" s="4" t="n">
        <v>50.1</v>
      </c>
      <c r="I49" s="4" t="n">
        <v>9.281</v>
      </c>
      <c r="J49" s="4" t="n">
        <v>3.992</v>
      </c>
      <c r="K49" s="4" t="n">
        <v>3.992</v>
      </c>
      <c r="L49" s="4" t="n">
        <v>0.896</v>
      </c>
      <c r="M49" s="4" t="n">
        <v>1.702</v>
      </c>
      <c r="N49" s="4" t="n">
        <v>0.672</v>
      </c>
      <c r="O49" s="4" t="n">
        <v>0.964</v>
      </c>
      <c r="P49" s="4" t="n">
        <v>0.35</v>
      </c>
      <c r="Q49" s="4" t="n">
        <v>0.35</v>
      </c>
      <c r="R49" s="4" t="n">
        <v>1</v>
      </c>
      <c r="S49" s="11" t="b">
        <f aca="false">FALSE()</f>
        <v>0</v>
      </c>
      <c r="T49" s="11" t="b">
        <f aca="false">FALSE()</f>
        <v>0</v>
      </c>
      <c r="U49" s="4" t="n">
        <v>0</v>
      </c>
      <c r="V49" s="11" t="b">
        <f aca="false">FALSE()</f>
        <v>0</v>
      </c>
      <c r="W49" s="4" t="s">
        <v>116</v>
      </c>
    </row>
    <row r="50" customFormat="false" ht="15" hidden="false" customHeight="false" outlineLevel="0" collapsed="false">
      <c r="A50" s="5" t="n">
        <v>48</v>
      </c>
      <c r="B50" s="5" t="n">
        <v>0.7</v>
      </c>
      <c r="C50" s="10" t="b">
        <f aca="false">FALSE()</f>
        <v>0</v>
      </c>
      <c r="D50" s="5" t="n">
        <v>3168</v>
      </c>
      <c r="E50" s="5" t="n">
        <v>10053</v>
      </c>
      <c r="F50" s="5" t="n">
        <v>502</v>
      </c>
      <c r="G50" s="5" t="n">
        <v>10.02</v>
      </c>
      <c r="H50" s="5" t="n">
        <v>50.1</v>
      </c>
      <c r="I50" s="5" t="n">
        <v>9.679</v>
      </c>
      <c r="J50" s="5" t="n">
        <v>3.97</v>
      </c>
      <c r="K50" s="5" t="n">
        <v>3.97</v>
      </c>
      <c r="L50" s="5" t="n">
        <v>0.966</v>
      </c>
      <c r="M50" s="5" t="n">
        <v>1.791</v>
      </c>
      <c r="N50" s="5" t="n">
        <v>1.397</v>
      </c>
      <c r="O50" s="5" t="n">
        <v>1.072</v>
      </c>
      <c r="P50" s="5" t="n">
        <v>0.7</v>
      </c>
      <c r="Q50" s="5" t="n">
        <v>0.7</v>
      </c>
      <c r="R50" s="5" t="n">
        <v>1</v>
      </c>
      <c r="S50" s="10" t="b">
        <f aca="false">FALSE()</f>
        <v>0</v>
      </c>
      <c r="T50" s="10" t="b">
        <f aca="false">FALSE()</f>
        <v>0</v>
      </c>
      <c r="U50" s="5" t="n">
        <v>0</v>
      </c>
      <c r="V50" s="10" t="b">
        <f aca="false">FALSE()</f>
        <v>0</v>
      </c>
      <c r="W50" s="5" t="s">
        <v>116</v>
      </c>
    </row>
    <row r="51" customFormat="false" ht="15" hidden="false" customHeight="false" outlineLevel="0" collapsed="false">
      <c r="A51" s="4" t="n">
        <v>49</v>
      </c>
      <c r="B51" s="4" t="n">
        <v>0.7</v>
      </c>
      <c r="C51" s="11" t="b">
        <f aca="false">FALSE()</f>
        <v>0</v>
      </c>
      <c r="D51" s="4" t="n">
        <v>3377</v>
      </c>
      <c r="E51" s="4" t="n">
        <v>10167</v>
      </c>
      <c r="F51" s="4" t="n">
        <v>509</v>
      </c>
      <c r="G51" s="4" t="n">
        <v>10.16</v>
      </c>
      <c r="H51" s="4" t="n">
        <v>50.1</v>
      </c>
      <c r="I51" s="4" t="n">
        <v>9.324</v>
      </c>
      <c r="J51" s="4" t="n">
        <v>3.994</v>
      </c>
      <c r="K51" s="4" t="n">
        <v>3.994</v>
      </c>
      <c r="L51" s="4" t="n">
        <v>0.918</v>
      </c>
      <c r="M51" s="4" t="n">
        <v>1.708</v>
      </c>
      <c r="N51" s="4" t="n">
        <v>1.393</v>
      </c>
      <c r="O51" s="4" t="n">
        <v>0.991</v>
      </c>
      <c r="P51" s="4" t="n">
        <v>0.7</v>
      </c>
      <c r="Q51" s="4" t="n">
        <v>0.7</v>
      </c>
      <c r="R51" s="4" t="n">
        <v>1</v>
      </c>
      <c r="S51" s="11" t="b">
        <f aca="false">FALSE()</f>
        <v>0</v>
      </c>
      <c r="T51" s="11" t="b">
        <f aca="false">FALSE()</f>
        <v>0</v>
      </c>
      <c r="U51" s="4" t="n">
        <v>0</v>
      </c>
      <c r="V51" s="11" t="b">
        <f aca="false">FALSE()</f>
        <v>0</v>
      </c>
      <c r="W51" s="4" t="s">
        <v>116</v>
      </c>
    </row>
    <row r="52" customFormat="false" ht="15" hidden="false" customHeight="false" outlineLevel="0" collapsed="false">
      <c r="A52" s="12" t="n">
        <v>50</v>
      </c>
      <c r="B52" s="12" t="n">
        <v>0.35</v>
      </c>
      <c r="C52" s="13" t="b">
        <f aca="false">FALSE()</f>
        <v>0</v>
      </c>
      <c r="D52" s="12" t="n">
        <v>2669</v>
      </c>
      <c r="E52" s="12" t="n">
        <v>68772</v>
      </c>
      <c r="F52" s="12" t="n">
        <v>3438</v>
      </c>
      <c r="G52" s="12" t="n">
        <v>68.739</v>
      </c>
      <c r="H52" s="12" t="n">
        <v>50</v>
      </c>
      <c r="I52" s="12" t="n">
        <v>14.501</v>
      </c>
      <c r="J52" s="12" t="n">
        <v>3.984</v>
      </c>
      <c r="K52" s="12" t="n">
        <v>3.984</v>
      </c>
      <c r="L52" s="12" t="n">
        <v>0.211</v>
      </c>
      <c r="M52" s="12" t="n">
        <v>1.771</v>
      </c>
      <c r="N52" s="12" t="n">
        <v>0.699</v>
      </c>
      <c r="O52" s="12" t="n">
        <v>0.839</v>
      </c>
      <c r="P52" s="12" t="n">
        <v>0.35</v>
      </c>
      <c r="Q52" s="12" t="n">
        <v>0.35</v>
      </c>
      <c r="R52" s="12" t="n">
        <v>1</v>
      </c>
      <c r="S52" s="13" t="b">
        <f aca="false">TRUE()</f>
        <v>1</v>
      </c>
      <c r="T52" s="13" t="b">
        <f aca="false">FALSE()</f>
        <v>0</v>
      </c>
      <c r="U52" s="12" t="n">
        <v>0</v>
      </c>
      <c r="V52" s="13" t="b">
        <f aca="false">FALSE()</f>
        <v>0</v>
      </c>
      <c r="W52" s="12" t="s">
        <v>118</v>
      </c>
    </row>
    <row r="53" customFormat="false" ht="15" hidden="false" customHeight="false" outlineLevel="0" collapsed="false">
      <c r="A53" s="4" t="n">
        <v>51</v>
      </c>
      <c r="B53" s="4" t="n">
        <v>0.35</v>
      </c>
      <c r="C53" s="11" t="b">
        <f aca="false">FALSE()</f>
        <v>0</v>
      </c>
      <c r="D53" s="4" t="n">
        <v>2322</v>
      </c>
      <c r="E53" s="4" t="n">
        <v>10541</v>
      </c>
      <c r="F53" s="4" t="n">
        <v>527</v>
      </c>
      <c r="G53" s="4" t="n">
        <v>10.52</v>
      </c>
      <c r="H53" s="4" t="n">
        <v>50.1</v>
      </c>
      <c r="I53" s="4" t="n">
        <v>9.175</v>
      </c>
      <c r="J53" s="4" t="n">
        <v>3.977</v>
      </c>
      <c r="K53" s="4" t="n">
        <v>3.977</v>
      </c>
      <c r="L53" s="4" t="n">
        <v>0.872</v>
      </c>
      <c r="M53" s="4" t="n">
        <v>1.82</v>
      </c>
      <c r="N53" s="4" t="n">
        <v>0.686</v>
      </c>
      <c r="O53" s="4" t="n">
        <v>1.152</v>
      </c>
      <c r="P53" s="4" t="n">
        <v>0.35</v>
      </c>
      <c r="Q53" s="4" t="n">
        <v>0.35</v>
      </c>
      <c r="R53" s="4" t="n">
        <v>1</v>
      </c>
      <c r="S53" s="11" t="b">
        <f aca="false">FALSE()</f>
        <v>0</v>
      </c>
      <c r="T53" s="11" t="b">
        <f aca="false">FALSE()</f>
        <v>0</v>
      </c>
      <c r="U53" s="4" t="n">
        <v>0</v>
      </c>
      <c r="V53" s="11" t="b">
        <f aca="false">FALSE()</f>
        <v>0</v>
      </c>
      <c r="W53" s="4" t="s">
        <v>116</v>
      </c>
    </row>
    <row r="54" customFormat="false" ht="15" hidden="false" customHeight="false" outlineLevel="0" collapsed="false">
      <c r="A54" s="5" t="n">
        <v>52</v>
      </c>
      <c r="B54" s="5" t="n">
        <v>0.7</v>
      </c>
      <c r="C54" s="10" t="b">
        <f aca="false">FALSE()</f>
        <v>0</v>
      </c>
      <c r="D54" s="5" t="n">
        <v>3446</v>
      </c>
      <c r="E54" s="5" t="n">
        <v>10637</v>
      </c>
      <c r="F54" s="5" t="n">
        <v>532</v>
      </c>
      <c r="G54" s="5" t="n">
        <v>10.62</v>
      </c>
      <c r="H54" s="5" t="n">
        <v>50.1</v>
      </c>
      <c r="I54" s="5" t="n">
        <v>9.725</v>
      </c>
      <c r="J54" s="5" t="n">
        <v>3.986</v>
      </c>
      <c r="K54" s="5" t="n">
        <v>3.986</v>
      </c>
      <c r="L54" s="5" t="n">
        <v>0.916</v>
      </c>
      <c r="M54" s="5" t="n">
        <v>3.181</v>
      </c>
      <c r="N54" s="5" t="n">
        <v>1.395</v>
      </c>
      <c r="O54" s="5" t="n">
        <v>1.074</v>
      </c>
      <c r="P54" s="5" t="n">
        <v>0.7</v>
      </c>
      <c r="Q54" s="5" t="n">
        <v>0.7</v>
      </c>
      <c r="R54" s="5" t="n">
        <v>1</v>
      </c>
      <c r="S54" s="10" t="b">
        <f aca="false">FALSE()</f>
        <v>0</v>
      </c>
      <c r="T54" s="10" t="b">
        <f aca="false">FALSE()</f>
        <v>0</v>
      </c>
      <c r="U54" s="5" t="n">
        <v>0</v>
      </c>
      <c r="V54" s="10" t="b">
        <f aca="false">FALSE()</f>
        <v>0</v>
      </c>
      <c r="W54" s="5" t="s">
        <v>116</v>
      </c>
    </row>
    <row r="55" customFormat="false" ht="15" hidden="false" customHeight="false" outlineLevel="0" collapsed="false">
      <c r="A55" s="4" t="n">
        <v>53</v>
      </c>
      <c r="B55" s="4" t="n">
        <v>0.7</v>
      </c>
      <c r="C55" s="11" t="b">
        <f aca="false">FALSE()</f>
        <v>0</v>
      </c>
      <c r="D55" s="4" t="n">
        <v>3238</v>
      </c>
      <c r="E55" s="4" t="n">
        <v>10028</v>
      </c>
      <c r="F55" s="4" t="n">
        <v>502</v>
      </c>
      <c r="G55" s="4" t="n">
        <v>10.019</v>
      </c>
      <c r="H55" s="4" t="n">
        <v>50.1</v>
      </c>
      <c r="I55" s="4" t="n">
        <v>9.035</v>
      </c>
      <c r="J55" s="4" t="n">
        <v>4</v>
      </c>
      <c r="K55" s="4" t="n">
        <v>4</v>
      </c>
      <c r="L55" s="4" t="n">
        <v>0.902</v>
      </c>
      <c r="M55" s="4" t="n">
        <v>1.796</v>
      </c>
      <c r="N55" s="4" t="n">
        <v>1.399</v>
      </c>
      <c r="O55" s="4" t="n">
        <v>0.989</v>
      </c>
      <c r="P55" s="4" t="n">
        <v>0.7</v>
      </c>
      <c r="Q55" s="4" t="n">
        <v>0.7</v>
      </c>
      <c r="R55" s="4" t="n">
        <v>1</v>
      </c>
      <c r="S55" s="11" t="b">
        <f aca="false">FALSE()</f>
        <v>0</v>
      </c>
      <c r="T55" s="11" t="b">
        <f aca="false">FALSE()</f>
        <v>0</v>
      </c>
      <c r="U55" s="4" t="n">
        <v>0</v>
      </c>
      <c r="V55" s="11" t="b">
        <f aca="false">FALSE()</f>
        <v>0</v>
      </c>
      <c r="W55" s="4" t="s">
        <v>116</v>
      </c>
    </row>
    <row r="56" customFormat="false" ht="15" hidden="false" customHeight="false" outlineLevel="0" collapsed="false">
      <c r="A56" s="5" t="n">
        <v>54</v>
      </c>
      <c r="B56" s="5" t="n">
        <v>0.35</v>
      </c>
      <c r="C56" s="10" t="b">
        <f aca="false">FALSE()</f>
        <v>0</v>
      </c>
      <c r="D56" s="5" t="n">
        <v>2654</v>
      </c>
      <c r="E56" s="5" t="n">
        <v>10748</v>
      </c>
      <c r="F56" s="5" t="n">
        <v>537</v>
      </c>
      <c r="G56" s="5" t="n">
        <v>10.72</v>
      </c>
      <c r="H56" s="5" t="n">
        <v>50.1</v>
      </c>
      <c r="I56" s="5" t="n">
        <v>9.623</v>
      </c>
      <c r="J56" s="5" t="n">
        <v>4.013</v>
      </c>
      <c r="K56" s="5" t="n">
        <v>4.013</v>
      </c>
      <c r="L56" s="5" t="n">
        <v>0.898</v>
      </c>
      <c r="M56" s="5" t="n">
        <v>1.781</v>
      </c>
      <c r="N56" s="5" t="n">
        <v>0.692</v>
      </c>
      <c r="O56" s="5" t="n">
        <v>0.991</v>
      </c>
      <c r="P56" s="5" t="n">
        <v>0.35</v>
      </c>
      <c r="Q56" s="5" t="n">
        <v>0.35</v>
      </c>
      <c r="R56" s="5" t="n">
        <v>1</v>
      </c>
      <c r="S56" s="10" t="b">
        <f aca="false">FALSE()</f>
        <v>0</v>
      </c>
      <c r="T56" s="10" t="b">
        <f aca="false">FALSE()</f>
        <v>0</v>
      </c>
      <c r="U56" s="5" t="n">
        <v>0</v>
      </c>
      <c r="V56" s="10" t="b">
        <f aca="false">FALSE()</f>
        <v>0</v>
      </c>
      <c r="W56" s="5" t="s">
        <v>116</v>
      </c>
    </row>
    <row r="57" customFormat="false" ht="15" hidden="false" customHeight="false" outlineLevel="0" collapsed="false">
      <c r="A57" s="4" t="n">
        <v>55</v>
      </c>
      <c r="B57" s="4" t="n">
        <v>0.35</v>
      </c>
      <c r="C57" s="11" t="b">
        <f aca="false">FALSE()</f>
        <v>0</v>
      </c>
      <c r="D57" s="4" t="n">
        <v>2349</v>
      </c>
      <c r="E57" s="4" t="n">
        <v>10042</v>
      </c>
      <c r="F57" s="4" t="n">
        <v>502</v>
      </c>
      <c r="G57" s="4" t="n">
        <v>10.02</v>
      </c>
      <c r="H57" s="4" t="n">
        <v>50.1</v>
      </c>
      <c r="I57" s="4" t="n">
        <v>9.13</v>
      </c>
      <c r="J57" s="4" t="n">
        <v>3.986</v>
      </c>
      <c r="K57" s="4" t="n">
        <v>3.986</v>
      </c>
      <c r="L57" s="4" t="n">
        <v>0.911</v>
      </c>
      <c r="M57" s="4" t="n">
        <v>1.818</v>
      </c>
      <c r="N57" s="4" t="n">
        <v>0.685</v>
      </c>
      <c r="O57" s="4" t="n">
        <v>1.04</v>
      </c>
      <c r="P57" s="4" t="n">
        <v>0.35</v>
      </c>
      <c r="Q57" s="4" t="n">
        <v>0.35</v>
      </c>
      <c r="R57" s="4" t="n">
        <v>1</v>
      </c>
      <c r="S57" s="11" t="b">
        <f aca="false">FALSE()</f>
        <v>0</v>
      </c>
      <c r="T57" s="11" t="b">
        <f aca="false">FALSE()</f>
        <v>0</v>
      </c>
      <c r="U57" s="4" t="n">
        <v>0</v>
      </c>
      <c r="V57" s="11" t="b">
        <f aca="false">FALSE()</f>
        <v>0</v>
      </c>
      <c r="W57" s="4" t="s">
        <v>116</v>
      </c>
    </row>
    <row r="58" customFormat="false" ht="15" hidden="false" customHeight="false" outlineLevel="0" collapsed="false">
      <c r="A58" s="5" t="n">
        <v>56</v>
      </c>
      <c r="B58" s="5" t="n">
        <v>0.7</v>
      </c>
      <c r="C58" s="10" t="b">
        <f aca="false">FALSE()</f>
        <v>0</v>
      </c>
      <c r="D58" s="5" t="n">
        <v>3488</v>
      </c>
      <c r="E58" s="5" t="n">
        <v>10485</v>
      </c>
      <c r="F58" s="5" t="n">
        <v>524</v>
      </c>
      <c r="G58" s="5" t="n">
        <v>10.46</v>
      </c>
      <c r="H58" s="5" t="n">
        <v>50.1</v>
      </c>
      <c r="I58" s="5" t="n">
        <v>9.454</v>
      </c>
      <c r="J58" s="5" t="n">
        <v>3.984</v>
      </c>
      <c r="K58" s="5" t="n">
        <v>3.984</v>
      </c>
      <c r="L58" s="5" t="n">
        <v>0.904</v>
      </c>
      <c r="M58" s="5" t="n">
        <v>1.826</v>
      </c>
      <c r="N58" s="5" t="n">
        <v>1.399</v>
      </c>
      <c r="O58" s="5" t="n">
        <v>0.921</v>
      </c>
      <c r="P58" s="5" t="n">
        <v>0.7</v>
      </c>
      <c r="Q58" s="5" t="n">
        <v>0.7</v>
      </c>
      <c r="R58" s="5" t="n">
        <v>1</v>
      </c>
      <c r="S58" s="10" t="b">
        <f aca="false">FALSE()</f>
        <v>0</v>
      </c>
      <c r="T58" s="10" t="b">
        <f aca="false">FALSE()</f>
        <v>0</v>
      </c>
      <c r="U58" s="5" t="n">
        <v>0</v>
      </c>
      <c r="V58" s="10" t="b">
        <f aca="false">FALSE()</f>
        <v>0</v>
      </c>
      <c r="W58" s="5" t="s">
        <v>116</v>
      </c>
    </row>
    <row r="59" customFormat="false" ht="15" hidden="false" customHeight="false" outlineLevel="0" collapsed="false">
      <c r="A59" s="4" t="n">
        <v>57</v>
      </c>
      <c r="B59" s="4" t="n">
        <v>0.7</v>
      </c>
      <c r="C59" s="11" t="b">
        <f aca="false">FALSE()</f>
        <v>0</v>
      </c>
      <c r="D59" s="4" t="n">
        <v>3503</v>
      </c>
      <c r="E59" s="4" t="n">
        <v>11416</v>
      </c>
      <c r="F59" s="4" t="n">
        <v>571</v>
      </c>
      <c r="G59" s="4" t="n">
        <v>11.4</v>
      </c>
      <c r="H59" s="4" t="n">
        <v>50.1</v>
      </c>
      <c r="I59" s="4" t="n">
        <v>9.179</v>
      </c>
      <c r="J59" s="4" t="n">
        <v>3.983</v>
      </c>
      <c r="K59" s="4" t="n">
        <v>3.983</v>
      </c>
      <c r="L59" s="4" t="n">
        <v>0.805</v>
      </c>
      <c r="M59" s="4" t="n">
        <v>1.569</v>
      </c>
      <c r="N59" s="4" t="n">
        <v>1.389</v>
      </c>
      <c r="O59" s="4" t="n">
        <v>0.811</v>
      </c>
      <c r="P59" s="4" t="n">
        <v>0.7</v>
      </c>
      <c r="Q59" s="4" t="n">
        <v>0.7</v>
      </c>
      <c r="R59" s="4" t="n">
        <v>1</v>
      </c>
      <c r="S59" s="11" t="b">
        <f aca="false">FALSE()</f>
        <v>0</v>
      </c>
      <c r="T59" s="11" t="b">
        <f aca="false">FALSE()</f>
        <v>0</v>
      </c>
      <c r="U59" s="4" t="n">
        <v>0</v>
      </c>
      <c r="V59" s="11" t="b">
        <f aca="false">FALSE()</f>
        <v>0</v>
      </c>
      <c r="W59" s="4" t="s">
        <v>116</v>
      </c>
    </row>
    <row r="60" customFormat="false" ht="15" hidden="false" customHeight="false" outlineLevel="0" collapsed="false">
      <c r="A60" s="5" t="n">
        <v>58</v>
      </c>
      <c r="B60" s="5" t="n">
        <v>0.35</v>
      </c>
      <c r="C60" s="10" t="b">
        <f aca="false">FALSE()</f>
        <v>0</v>
      </c>
      <c r="D60" s="5" t="n">
        <v>2696</v>
      </c>
      <c r="E60" s="5" t="n">
        <v>10943</v>
      </c>
      <c r="F60" s="5" t="n">
        <v>547</v>
      </c>
      <c r="G60" s="5" t="n">
        <v>10.92</v>
      </c>
      <c r="H60" s="5" t="n">
        <v>50.1</v>
      </c>
      <c r="I60" s="5" t="n">
        <v>9.504</v>
      </c>
      <c r="J60" s="5" t="n">
        <v>3.982</v>
      </c>
      <c r="K60" s="5" t="n">
        <v>3.981</v>
      </c>
      <c r="L60" s="5" t="n">
        <v>0.87</v>
      </c>
      <c r="M60" s="5" t="n">
        <v>1.8</v>
      </c>
      <c r="N60" s="5" t="n">
        <v>0.68</v>
      </c>
      <c r="O60" s="5" t="n">
        <v>0.907</v>
      </c>
      <c r="P60" s="5" t="n">
        <v>0.35</v>
      </c>
      <c r="Q60" s="5" t="n">
        <v>0.35</v>
      </c>
      <c r="R60" s="5" t="n">
        <v>1</v>
      </c>
      <c r="S60" s="10" t="b">
        <f aca="false">FALSE()</f>
        <v>0</v>
      </c>
      <c r="T60" s="10" t="b">
        <f aca="false">FALSE()</f>
        <v>0</v>
      </c>
      <c r="U60" s="5" t="n">
        <v>0</v>
      </c>
      <c r="V60" s="10" t="b">
        <f aca="false">FALSE()</f>
        <v>0</v>
      </c>
      <c r="W60" s="5" t="s">
        <v>116</v>
      </c>
    </row>
    <row r="61" customFormat="false" ht="15" hidden="false" customHeight="false" outlineLevel="0" collapsed="false">
      <c r="A61" s="4" t="n">
        <v>59</v>
      </c>
      <c r="B61" s="4" t="n">
        <v>0.35</v>
      </c>
      <c r="C61" s="11" t="b">
        <f aca="false">FALSE()</f>
        <v>0</v>
      </c>
      <c r="D61" s="4" t="n">
        <v>2724</v>
      </c>
      <c r="E61" s="4" t="n">
        <v>11208</v>
      </c>
      <c r="F61" s="4" t="n">
        <v>561</v>
      </c>
      <c r="G61" s="4" t="n">
        <v>11.2</v>
      </c>
      <c r="H61" s="4" t="n">
        <v>50.1</v>
      </c>
      <c r="I61" s="4" t="n">
        <v>9.274</v>
      </c>
      <c r="J61" s="4" t="n">
        <v>4.001</v>
      </c>
      <c r="K61" s="4" t="n">
        <v>4.001</v>
      </c>
      <c r="L61" s="4" t="n">
        <v>0.828</v>
      </c>
      <c r="M61" s="4" t="n">
        <v>1.641</v>
      </c>
      <c r="N61" s="4" t="n">
        <v>0.684</v>
      </c>
      <c r="O61" s="4" t="n">
        <v>0.87</v>
      </c>
      <c r="P61" s="4" t="n">
        <v>0.35</v>
      </c>
      <c r="Q61" s="4" t="n">
        <v>0.35</v>
      </c>
      <c r="R61" s="4" t="n">
        <v>1</v>
      </c>
      <c r="S61" s="11" t="b">
        <f aca="false">FALSE()</f>
        <v>0</v>
      </c>
      <c r="T61" s="11" t="b">
        <f aca="false">FALSE()</f>
        <v>0</v>
      </c>
      <c r="U61" s="4" t="n">
        <v>0</v>
      </c>
      <c r="V61" s="11" t="b">
        <f aca="false">FALSE()</f>
        <v>0</v>
      </c>
      <c r="W61" s="4" t="s">
        <v>116</v>
      </c>
    </row>
    <row r="62" customFormat="false" ht="15" hidden="false" customHeight="false" outlineLevel="0" collapsed="false">
      <c r="A62" s="12" t="n">
        <v>60</v>
      </c>
      <c r="B62" s="12" t="n">
        <v>0.7</v>
      </c>
      <c r="C62" s="13" t="b">
        <f aca="false">TRUE()</f>
        <v>1</v>
      </c>
      <c r="D62" s="12" t="n">
        <v>4072</v>
      </c>
      <c r="E62" s="12" t="n">
        <v>64314</v>
      </c>
      <c r="F62" s="12" t="n">
        <v>3215</v>
      </c>
      <c r="G62" s="12" t="n">
        <v>64.28</v>
      </c>
      <c r="H62" s="12" t="n">
        <v>50</v>
      </c>
      <c r="I62" s="12" t="n">
        <v>14.855</v>
      </c>
      <c r="J62" s="12" t="n">
        <v>3.991</v>
      </c>
      <c r="K62" s="12" t="n">
        <v>3.991</v>
      </c>
      <c r="L62" s="12" t="n">
        <v>0.231</v>
      </c>
      <c r="M62" s="12" t="n">
        <v>1.631</v>
      </c>
      <c r="N62" s="12" t="n">
        <v>1.4</v>
      </c>
      <c r="O62" s="12" t="n">
        <v>0.206</v>
      </c>
      <c r="P62" s="12" t="n">
        <v>0.7</v>
      </c>
      <c r="Q62" s="12" t="n">
        <v>0.7</v>
      </c>
      <c r="R62" s="12" t="n">
        <v>1</v>
      </c>
      <c r="S62" s="13" t="b">
        <f aca="false">TRUE()</f>
        <v>1</v>
      </c>
      <c r="T62" s="13" t="b">
        <f aca="false">FALSE()</f>
        <v>0</v>
      </c>
      <c r="U62" s="12" t="n">
        <v>0</v>
      </c>
      <c r="V62" s="13" t="b">
        <f aca="false">FALSE()</f>
        <v>0</v>
      </c>
      <c r="W62" s="12" t="s">
        <v>118</v>
      </c>
    </row>
    <row r="63" customFormat="false" ht="15" hidden="false" customHeight="false" outlineLevel="0" collapsed="false">
      <c r="A63" s="4" t="n">
        <v>61</v>
      </c>
      <c r="B63" s="4" t="n">
        <v>0.7</v>
      </c>
      <c r="C63" s="11" t="b">
        <f aca="false">FALSE()</f>
        <v>0</v>
      </c>
      <c r="D63" s="4" t="n">
        <v>3294</v>
      </c>
      <c r="E63" s="4" t="n">
        <v>9681</v>
      </c>
      <c r="F63" s="4" t="n">
        <v>485</v>
      </c>
      <c r="G63" s="4" t="n">
        <v>9.68</v>
      </c>
      <c r="H63" s="4" t="n">
        <v>50.1</v>
      </c>
      <c r="I63" s="4" t="n">
        <v>8.574</v>
      </c>
      <c r="J63" s="4" t="n">
        <v>4.008</v>
      </c>
      <c r="K63" s="4" t="n">
        <v>4.008</v>
      </c>
      <c r="L63" s="4" t="n">
        <v>0.886</v>
      </c>
      <c r="M63" s="4" t="n">
        <v>1.643</v>
      </c>
      <c r="N63" s="4" t="n">
        <v>1.398</v>
      </c>
      <c r="O63" s="4" t="n">
        <v>0.985</v>
      </c>
      <c r="P63" s="4" t="n">
        <v>0.7</v>
      </c>
      <c r="Q63" s="4" t="n">
        <v>0.7</v>
      </c>
      <c r="R63" s="4" t="n">
        <v>1</v>
      </c>
      <c r="S63" s="11" t="b">
        <f aca="false">FALSE()</f>
        <v>0</v>
      </c>
      <c r="T63" s="11" t="b">
        <f aca="false">FALSE()</f>
        <v>0</v>
      </c>
      <c r="U63" s="4" t="n">
        <v>0</v>
      </c>
      <c r="V63" s="11" t="b">
        <f aca="false">FALSE()</f>
        <v>0</v>
      </c>
      <c r="W63" s="4" t="s">
        <v>116</v>
      </c>
    </row>
    <row r="64" customFormat="false" ht="15" hidden="false" customHeight="false" outlineLevel="0" collapsed="false">
      <c r="A64" s="5" t="n">
        <v>62</v>
      </c>
      <c r="B64" s="5" t="n">
        <v>0.35</v>
      </c>
      <c r="C64" s="10" t="b">
        <f aca="false">FALSE()</f>
        <v>0</v>
      </c>
      <c r="D64" s="5" t="n">
        <v>2821</v>
      </c>
      <c r="E64" s="5" t="n">
        <v>11721</v>
      </c>
      <c r="F64" s="5" t="n">
        <v>586</v>
      </c>
      <c r="G64" s="5" t="n">
        <v>11.7</v>
      </c>
      <c r="H64" s="5" t="n">
        <v>50.1</v>
      </c>
      <c r="I64" s="5" t="n">
        <v>9.765</v>
      </c>
      <c r="J64" s="5" t="n">
        <v>4.02</v>
      </c>
      <c r="K64" s="5" t="n">
        <v>4.02</v>
      </c>
      <c r="L64" s="5" t="n">
        <v>0.835</v>
      </c>
      <c r="M64" s="5" t="n">
        <v>1.643</v>
      </c>
      <c r="N64" s="5" t="n">
        <v>0.679</v>
      </c>
      <c r="O64" s="5" t="n">
        <v>0.836</v>
      </c>
      <c r="P64" s="5" t="n">
        <v>0.35</v>
      </c>
      <c r="Q64" s="5" t="n">
        <v>0.35</v>
      </c>
      <c r="R64" s="5" t="n">
        <v>1</v>
      </c>
      <c r="S64" s="10" t="b">
        <f aca="false">FALSE()</f>
        <v>0</v>
      </c>
      <c r="T64" s="10" t="b">
        <f aca="false">FALSE()</f>
        <v>0</v>
      </c>
      <c r="U64" s="5" t="n">
        <v>0</v>
      </c>
      <c r="V64" s="10" t="b">
        <f aca="false">FALSE()</f>
        <v>0</v>
      </c>
      <c r="W64" s="5" t="s">
        <v>116</v>
      </c>
    </row>
    <row r="65" customFormat="false" ht="15" hidden="false" customHeight="false" outlineLevel="0" collapsed="false">
      <c r="A65" s="4" t="n">
        <v>63</v>
      </c>
      <c r="B65" s="4" t="n">
        <v>0.35</v>
      </c>
      <c r="C65" s="11" t="b">
        <f aca="false">FALSE()</f>
        <v>0</v>
      </c>
      <c r="D65" s="4" t="n">
        <v>2879</v>
      </c>
      <c r="E65" s="4" t="n">
        <v>10791</v>
      </c>
      <c r="F65" s="4" t="n">
        <v>539</v>
      </c>
      <c r="G65" s="4" t="n">
        <v>10.76</v>
      </c>
      <c r="H65" s="4" t="n">
        <v>50.1</v>
      </c>
      <c r="I65" s="4" t="n">
        <v>8.945</v>
      </c>
      <c r="J65" s="4" t="n">
        <v>4.019</v>
      </c>
      <c r="K65" s="4" t="n">
        <v>4.019</v>
      </c>
      <c r="L65" s="4" t="n">
        <v>0.831</v>
      </c>
      <c r="M65" s="4" t="n">
        <v>1.555</v>
      </c>
      <c r="N65" s="4" t="n">
        <v>0.693</v>
      </c>
      <c r="O65" s="4" t="n">
        <v>0.857</v>
      </c>
      <c r="P65" s="4" t="n">
        <v>0.35</v>
      </c>
      <c r="Q65" s="4" t="n">
        <v>0.35</v>
      </c>
      <c r="R65" s="4" t="n">
        <v>1</v>
      </c>
      <c r="S65" s="11" t="b">
        <f aca="false">FALSE()</f>
        <v>0</v>
      </c>
      <c r="T65" s="11" t="b">
        <f aca="false">FALSE()</f>
        <v>0</v>
      </c>
      <c r="U65" s="4" t="n">
        <v>0</v>
      </c>
      <c r="V65" s="11" t="b">
        <f aca="false">FALSE()</f>
        <v>0</v>
      </c>
      <c r="W65" s="4" t="s">
        <v>116</v>
      </c>
    </row>
    <row r="66" customFormat="false" ht="15" hidden="false" customHeight="false" outlineLevel="0" collapsed="false">
      <c r="A66" s="5" t="n">
        <v>64</v>
      </c>
      <c r="B66" s="5" t="n">
        <v>0.35</v>
      </c>
      <c r="C66" s="10" t="b">
        <f aca="false">FALSE()</f>
        <v>0</v>
      </c>
      <c r="D66" s="5" t="n">
        <v>2670</v>
      </c>
      <c r="E66" s="5" t="n">
        <v>11291</v>
      </c>
      <c r="F66" s="5" t="n">
        <v>565</v>
      </c>
      <c r="G66" s="5" t="n">
        <v>11.28</v>
      </c>
      <c r="H66" s="5" t="n">
        <v>50.1</v>
      </c>
      <c r="I66" s="5" t="n">
        <v>9.568</v>
      </c>
      <c r="J66" s="5" t="n">
        <v>4.008</v>
      </c>
      <c r="K66" s="5" t="n">
        <v>4.008</v>
      </c>
      <c r="L66" s="5" t="n">
        <v>0.848</v>
      </c>
      <c r="M66" s="5" t="n">
        <v>2.063</v>
      </c>
      <c r="N66" s="5" t="n">
        <v>0.694</v>
      </c>
      <c r="O66" s="5" t="n">
        <v>0.831</v>
      </c>
      <c r="P66" s="5" t="n">
        <v>0.35</v>
      </c>
      <c r="Q66" s="5" t="n">
        <v>0.35</v>
      </c>
      <c r="R66" s="5" t="n">
        <v>1</v>
      </c>
      <c r="S66" s="10" t="b">
        <f aca="false">FALSE()</f>
        <v>0</v>
      </c>
      <c r="T66" s="10" t="b">
        <f aca="false">FALSE()</f>
        <v>0</v>
      </c>
      <c r="U66" s="5" t="n">
        <v>0</v>
      </c>
      <c r="V66" s="10" t="b">
        <f aca="false">FALSE()</f>
        <v>0</v>
      </c>
      <c r="W66" s="5" t="s">
        <v>116</v>
      </c>
    </row>
    <row r="67" customFormat="false" ht="15" hidden="false" customHeight="false" outlineLevel="0" collapsed="false">
      <c r="A67" s="4" t="n">
        <v>65</v>
      </c>
      <c r="B67" s="4" t="n">
        <v>0.7</v>
      </c>
      <c r="C67" s="11" t="b">
        <f aca="false">FALSE()</f>
        <v>0</v>
      </c>
      <c r="D67" s="4" t="n">
        <v>3573</v>
      </c>
      <c r="E67" s="4" t="n">
        <v>11263</v>
      </c>
      <c r="F67" s="4" t="n">
        <v>563</v>
      </c>
      <c r="G67" s="4" t="n">
        <v>11.24</v>
      </c>
      <c r="H67" s="4" t="n">
        <v>50.1</v>
      </c>
      <c r="I67" s="4" t="n">
        <v>9.211</v>
      </c>
      <c r="J67" s="4" t="n">
        <v>4.001</v>
      </c>
      <c r="K67" s="4" t="n">
        <v>4.001</v>
      </c>
      <c r="L67" s="4" t="n">
        <v>0.819</v>
      </c>
      <c r="M67" s="4" t="n">
        <v>1.531</v>
      </c>
      <c r="N67" s="4" t="n">
        <v>1.397</v>
      </c>
      <c r="O67" s="4" t="n">
        <v>0.85</v>
      </c>
      <c r="P67" s="4" t="n">
        <v>0.7</v>
      </c>
      <c r="Q67" s="4" t="n">
        <v>0.7</v>
      </c>
      <c r="R67" s="4" t="n">
        <v>1</v>
      </c>
      <c r="S67" s="11" t="b">
        <f aca="false">FALSE()</f>
        <v>0</v>
      </c>
      <c r="T67" s="11" t="b">
        <f aca="false">FALSE()</f>
        <v>0</v>
      </c>
      <c r="U67" s="4" t="n">
        <v>0</v>
      </c>
      <c r="V67" s="11" t="b">
        <f aca="false">FALSE()</f>
        <v>0</v>
      </c>
      <c r="W67" s="4" t="s">
        <v>116</v>
      </c>
    </row>
    <row r="68" customFormat="false" ht="15" hidden="false" customHeight="false" outlineLevel="0" collapsed="false">
      <c r="A68" s="5" t="n">
        <v>66</v>
      </c>
      <c r="B68" s="5" t="n">
        <v>0.7</v>
      </c>
      <c r="C68" s="10" t="b">
        <f aca="false">FALSE()</f>
        <v>0</v>
      </c>
      <c r="D68" s="5" t="n">
        <v>3419</v>
      </c>
      <c r="E68" s="5" t="n">
        <v>11124</v>
      </c>
      <c r="F68" s="5" t="n">
        <v>556</v>
      </c>
      <c r="G68" s="5" t="n">
        <v>11.1</v>
      </c>
      <c r="H68" s="5" t="n">
        <v>50.1</v>
      </c>
      <c r="I68" s="5" t="n">
        <v>9.475</v>
      </c>
      <c r="J68" s="5" t="n">
        <v>4.004</v>
      </c>
      <c r="K68" s="5" t="n">
        <v>4.004</v>
      </c>
      <c r="L68" s="5" t="n">
        <v>0.854</v>
      </c>
      <c r="M68" s="5" t="n">
        <v>1.635</v>
      </c>
      <c r="N68" s="5" t="n">
        <v>1.4</v>
      </c>
      <c r="O68" s="5" t="n">
        <v>0.981</v>
      </c>
      <c r="P68" s="5" t="n">
        <v>0.7</v>
      </c>
      <c r="Q68" s="5" t="n">
        <v>0.7</v>
      </c>
      <c r="R68" s="5" t="n">
        <v>1</v>
      </c>
      <c r="S68" s="10" t="b">
        <f aca="false">FALSE()</f>
        <v>0</v>
      </c>
      <c r="T68" s="10" t="b">
        <f aca="false">FALSE()</f>
        <v>0</v>
      </c>
      <c r="U68" s="5" t="n">
        <v>0</v>
      </c>
      <c r="V68" s="10" t="b">
        <f aca="false">FALSE()</f>
        <v>0</v>
      </c>
      <c r="W68" s="5" t="s">
        <v>116</v>
      </c>
    </row>
    <row r="69" customFormat="false" ht="15" hidden="false" customHeight="false" outlineLevel="0" collapsed="false">
      <c r="A69" s="4" t="n">
        <v>67</v>
      </c>
      <c r="B69" s="4" t="n">
        <v>0.35</v>
      </c>
      <c r="C69" s="11" t="b">
        <f aca="false">FALSE()</f>
        <v>0</v>
      </c>
      <c r="D69" s="4" t="n">
        <v>2724</v>
      </c>
      <c r="E69" s="4" t="n">
        <v>10929</v>
      </c>
      <c r="F69" s="4" t="n">
        <v>546</v>
      </c>
      <c r="G69" s="4" t="n">
        <v>10.9</v>
      </c>
      <c r="H69" s="4" t="n">
        <v>50.1</v>
      </c>
      <c r="I69" s="4" t="n">
        <v>9.222</v>
      </c>
      <c r="J69" s="4" t="n">
        <v>3.988</v>
      </c>
      <c r="K69" s="4" t="n">
        <v>3.988</v>
      </c>
      <c r="L69" s="4" t="n">
        <v>0.846</v>
      </c>
      <c r="M69" s="4" t="n">
        <v>1.632</v>
      </c>
      <c r="N69" s="4" t="n">
        <v>0.694</v>
      </c>
      <c r="O69" s="4" t="n">
        <v>0.878</v>
      </c>
      <c r="P69" s="4" t="n">
        <v>0.35</v>
      </c>
      <c r="Q69" s="4" t="n">
        <v>0.35</v>
      </c>
      <c r="R69" s="4" t="n">
        <v>1</v>
      </c>
      <c r="S69" s="11" t="b">
        <f aca="false">FALSE()</f>
        <v>0</v>
      </c>
      <c r="T69" s="11" t="b">
        <f aca="false">FALSE()</f>
        <v>0</v>
      </c>
      <c r="U69" s="4" t="n">
        <v>0</v>
      </c>
      <c r="V69" s="11" t="b">
        <f aca="false">FALSE()</f>
        <v>0</v>
      </c>
      <c r="W69" s="4" t="s">
        <v>116</v>
      </c>
    </row>
    <row r="70" customFormat="false" ht="15" hidden="false" customHeight="false" outlineLevel="0" collapsed="false">
      <c r="A70" s="5" t="n">
        <v>68</v>
      </c>
      <c r="B70" s="5" t="n">
        <v>0.35</v>
      </c>
      <c r="C70" s="10" t="b">
        <f aca="false">FALSE()</f>
        <v>0</v>
      </c>
      <c r="D70" s="5" t="n">
        <v>2501</v>
      </c>
      <c r="E70" s="5" t="n">
        <v>10819</v>
      </c>
      <c r="F70" s="5" t="n">
        <v>541</v>
      </c>
      <c r="G70" s="5" t="n">
        <v>10.8</v>
      </c>
      <c r="H70" s="5" t="n">
        <v>50.1</v>
      </c>
      <c r="I70" s="5" t="n">
        <v>9.316</v>
      </c>
      <c r="J70" s="5" t="n">
        <v>3.978</v>
      </c>
      <c r="K70" s="5" t="n">
        <v>3.978</v>
      </c>
      <c r="L70" s="5" t="n">
        <v>0.863</v>
      </c>
      <c r="M70" s="5" t="n">
        <v>1.74</v>
      </c>
      <c r="N70" s="5" t="n">
        <v>0.69</v>
      </c>
      <c r="O70" s="5" t="n">
        <v>0.94</v>
      </c>
      <c r="P70" s="5" t="n">
        <v>0.35</v>
      </c>
      <c r="Q70" s="5" t="n">
        <v>0.35</v>
      </c>
      <c r="R70" s="5" t="n">
        <v>1</v>
      </c>
      <c r="S70" s="10" t="b">
        <f aca="false">FALSE()</f>
        <v>0</v>
      </c>
      <c r="T70" s="10" t="b">
        <f aca="false">FALSE()</f>
        <v>0</v>
      </c>
      <c r="U70" s="5" t="n">
        <v>0</v>
      </c>
      <c r="V70" s="10" t="b">
        <f aca="false">FALSE()</f>
        <v>0</v>
      </c>
      <c r="W70" s="5" t="s">
        <v>116</v>
      </c>
    </row>
    <row r="71" customFormat="false" ht="15" hidden="false" customHeight="false" outlineLevel="0" collapsed="false">
      <c r="A71" s="4" t="n">
        <v>69</v>
      </c>
      <c r="B71" s="4" t="n">
        <v>0.7</v>
      </c>
      <c r="C71" s="11" t="b">
        <f aca="false">FALSE()</f>
        <v>0</v>
      </c>
      <c r="D71" s="4" t="n">
        <v>3697</v>
      </c>
      <c r="E71" s="4" t="n">
        <v>10389</v>
      </c>
      <c r="F71" s="4" t="n">
        <v>520</v>
      </c>
      <c r="G71" s="4" t="n">
        <v>10.38</v>
      </c>
      <c r="H71" s="4" t="n">
        <v>50.1</v>
      </c>
      <c r="I71" s="4" t="n">
        <v>8.982</v>
      </c>
      <c r="J71" s="4" t="n">
        <v>4.005</v>
      </c>
      <c r="K71" s="4" t="n">
        <v>4.005</v>
      </c>
      <c r="L71" s="4" t="n">
        <v>0.865</v>
      </c>
      <c r="M71" s="4" t="n">
        <v>1.762</v>
      </c>
      <c r="N71" s="4" t="n">
        <v>1.398</v>
      </c>
      <c r="O71" s="4" t="n">
        <v>0.98</v>
      </c>
      <c r="P71" s="4" t="n">
        <v>0.7</v>
      </c>
      <c r="Q71" s="4" t="n">
        <v>0.7</v>
      </c>
      <c r="R71" s="4" t="n">
        <v>1</v>
      </c>
      <c r="S71" s="11" t="b">
        <f aca="false">FALSE()</f>
        <v>0</v>
      </c>
      <c r="T71" s="11" t="b">
        <f aca="false">FALSE()</f>
        <v>0</v>
      </c>
      <c r="U71" s="4" t="n">
        <v>0</v>
      </c>
      <c r="V71" s="11" t="b">
        <f aca="false">FALSE()</f>
        <v>0</v>
      </c>
      <c r="W71" s="4" t="s">
        <v>116</v>
      </c>
    </row>
    <row r="72" customFormat="false" ht="15" hidden="false" customHeight="false" outlineLevel="0" collapsed="false">
      <c r="A72" s="12" t="n">
        <v>70</v>
      </c>
      <c r="B72" s="12" t="n">
        <v>0.7</v>
      </c>
      <c r="C72" s="13" t="b">
        <f aca="false">FALSE()</f>
        <v>0</v>
      </c>
      <c r="D72" s="12" t="n">
        <v>3280</v>
      </c>
      <c r="E72" s="12" t="n">
        <v>55314</v>
      </c>
      <c r="F72" s="12" t="n">
        <v>2766</v>
      </c>
      <c r="G72" s="12" t="n">
        <v>55.3</v>
      </c>
      <c r="H72" s="12" t="n">
        <v>50</v>
      </c>
      <c r="I72" s="12" t="n">
        <v>15.337</v>
      </c>
      <c r="J72" s="12" t="n">
        <v>4</v>
      </c>
      <c r="K72" s="12" t="n">
        <v>4</v>
      </c>
      <c r="L72" s="12" t="n">
        <v>0.277</v>
      </c>
      <c r="M72" s="12" t="n">
        <v>1.849</v>
      </c>
      <c r="N72" s="12" t="n">
        <v>1.39</v>
      </c>
      <c r="O72" s="12" t="n">
        <v>0.412</v>
      </c>
      <c r="P72" s="12" t="n">
        <v>0.7</v>
      </c>
      <c r="Q72" s="12" t="n">
        <v>0.7</v>
      </c>
      <c r="R72" s="12" t="n">
        <v>1</v>
      </c>
      <c r="S72" s="13" t="b">
        <f aca="false">TRUE()</f>
        <v>1</v>
      </c>
      <c r="T72" s="13" t="b">
        <f aca="false">FALSE()</f>
        <v>0</v>
      </c>
      <c r="U72" s="12" t="n">
        <v>0</v>
      </c>
      <c r="V72" s="13" t="b">
        <f aca="false">FALSE()</f>
        <v>0</v>
      </c>
      <c r="W72" s="12" t="s">
        <v>118</v>
      </c>
    </row>
    <row r="73" customFormat="false" ht="15" hidden="false" customHeight="false" outlineLevel="0" collapsed="false">
      <c r="A73" s="4" t="n">
        <v>71</v>
      </c>
      <c r="B73" s="4" t="n">
        <v>0.35</v>
      </c>
      <c r="C73" s="11" t="b">
        <f aca="false">FALSE()</f>
        <v>0</v>
      </c>
      <c r="D73" s="4" t="n">
        <v>2405</v>
      </c>
      <c r="E73" s="4" t="n">
        <v>9277</v>
      </c>
      <c r="F73" s="4" t="n">
        <v>463</v>
      </c>
      <c r="G73" s="4" t="n">
        <v>9.24</v>
      </c>
      <c r="H73" s="4" t="n">
        <v>50.1</v>
      </c>
      <c r="I73" s="4" t="n">
        <v>8.981</v>
      </c>
      <c r="J73" s="4" t="n">
        <v>4.007</v>
      </c>
      <c r="K73" s="4" t="n">
        <v>4.007</v>
      </c>
      <c r="L73" s="4" t="n">
        <v>0.972</v>
      </c>
      <c r="M73" s="4" t="n">
        <v>1.836</v>
      </c>
      <c r="N73" s="4" t="n">
        <v>0.692</v>
      </c>
      <c r="O73" s="4" t="n">
        <v>0.901</v>
      </c>
      <c r="P73" s="4" t="n">
        <v>0.35</v>
      </c>
      <c r="Q73" s="4" t="n">
        <v>0.35</v>
      </c>
      <c r="R73" s="4" t="n">
        <v>1</v>
      </c>
      <c r="S73" s="11" t="b">
        <f aca="false">FALSE()</f>
        <v>0</v>
      </c>
      <c r="T73" s="11" t="b">
        <f aca="false">FALSE()</f>
        <v>0</v>
      </c>
      <c r="U73" s="4" t="n">
        <v>0</v>
      </c>
      <c r="V73" s="11" t="b">
        <f aca="false">FALSE()</f>
        <v>0</v>
      </c>
      <c r="W73" s="4" t="s">
        <v>116</v>
      </c>
    </row>
    <row r="74" customFormat="false" ht="15" hidden="false" customHeight="false" outlineLevel="0" collapsed="false">
      <c r="A74" s="5" t="n">
        <v>72</v>
      </c>
      <c r="B74" s="5" t="n">
        <v>0.35</v>
      </c>
      <c r="C74" s="10" t="b">
        <f aca="false">FALSE()</f>
        <v>0</v>
      </c>
      <c r="D74" s="5" t="n">
        <v>2641</v>
      </c>
      <c r="E74" s="5" t="n">
        <v>10166</v>
      </c>
      <c r="F74" s="5" t="n">
        <v>509</v>
      </c>
      <c r="G74" s="5" t="n">
        <v>10.16</v>
      </c>
      <c r="H74" s="5" t="n">
        <v>50.1</v>
      </c>
      <c r="I74" s="5" t="n">
        <v>9.348</v>
      </c>
      <c r="J74" s="5" t="n">
        <v>4.013</v>
      </c>
      <c r="K74" s="5" t="n">
        <v>4.013</v>
      </c>
      <c r="L74" s="5" t="n">
        <v>0.92</v>
      </c>
      <c r="M74" s="5" t="n">
        <v>1.68</v>
      </c>
      <c r="N74" s="5" t="n">
        <v>0.679</v>
      </c>
      <c r="O74" s="5" t="n">
        <v>1.034</v>
      </c>
      <c r="P74" s="5" t="n">
        <v>0.35</v>
      </c>
      <c r="Q74" s="5" t="n">
        <v>0.35</v>
      </c>
      <c r="R74" s="5" t="n">
        <v>1</v>
      </c>
      <c r="S74" s="10" t="b">
        <f aca="false">FALSE()</f>
        <v>0</v>
      </c>
      <c r="T74" s="10" t="b">
        <f aca="false">FALSE()</f>
        <v>0</v>
      </c>
      <c r="U74" s="5" t="n">
        <v>0</v>
      </c>
      <c r="V74" s="10" t="b">
        <f aca="false">FALSE()</f>
        <v>0</v>
      </c>
      <c r="W74" s="5" t="s">
        <v>116</v>
      </c>
    </row>
    <row r="75" customFormat="false" ht="15" hidden="false" customHeight="false" outlineLevel="0" collapsed="false">
      <c r="A75" s="4" t="n">
        <v>73</v>
      </c>
      <c r="B75" s="4" t="n">
        <v>0.7</v>
      </c>
      <c r="C75" s="11" t="b">
        <f aca="false">FALSE()</f>
        <v>0</v>
      </c>
      <c r="D75" s="4" t="n">
        <v>3197</v>
      </c>
      <c r="E75" s="4" t="n">
        <v>10999</v>
      </c>
      <c r="F75" s="4" t="n">
        <v>550</v>
      </c>
      <c r="G75" s="4" t="n">
        <v>10.98</v>
      </c>
      <c r="H75" s="4" t="n">
        <v>50.1</v>
      </c>
      <c r="I75" s="4" t="n">
        <v>9.269</v>
      </c>
      <c r="J75" s="4" t="n">
        <v>4.004</v>
      </c>
      <c r="K75" s="4" t="n">
        <v>4.004</v>
      </c>
      <c r="L75" s="4" t="n">
        <v>0.844</v>
      </c>
      <c r="M75" s="4" t="n">
        <v>1.693</v>
      </c>
      <c r="N75" s="4" t="n">
        <v>1.392</v>
      </c>
      <c r="O75" s="4" t="n">
        <v>1.033</v>
      </c>
      <c r="P75" s="4" t="n">
        <v>0.7</v>
      </c>
      <c r="Q75" s="4" t="n">
        <v>0.7</v>
      </c>
      <c r="R75" s="4" t="n">
        <v>1</v>
      </c>
      <c r="S75" s="11" t="b">
        <f aca="false">FALSE()</f>
        <v>0</v>
      </c>
      <c r="T75" s="11" t="b">
        <f aca="false">FALSE()</f>
        <v>0</v>
      </c>
      <c r="U75" s="4" t="n">
        <v>0</v>
      </c>
      <c r="V75" s="11" t="b">
        <f aca="false">FALSE()</f>
        <v>0</v>
      </c>
      <c r="W75" s="4" t="s">
        <v>116</v>
      </c>
    </row>
    <row r="76" customFormat="false" ht="15" hidden="false" customHeight="false" outlineLevel="0" collapsed="false">
      <c r="A76" s="14" t="n">
        <v>74</v>
      </c>
      <c r="B76" s="14" t="n">
        <v>0.7</v>
      </c>
      <c r="C76" s="15" t="b">
        <f aca="false">FALSE()</f>
        <v>0</v>
      </c>
      <c r="D76" s="14" t="n">
        <v>3099</v>
      </c>
      <c r="E76" s="14" t="n">
        <v>10319</v>
      </c>
      <c r="F76" s="14" t="n">
        <v>516</v>
      </c>
      <c r="G76" s="14" t="n">
        <v>10.3</v>
      </c>
      <c r="H76" s="14" t="n">
        <v>50.1</v>
      </c>
      <c r="I76" s="14" t="n">
        <v>9.453</v>
      </c>
      <c r="J76" s="14" t="n">
        <v>4.017</v>
      </c>
      <c r="K76" s="14" t="n">
        <v>4.017</v>
      </c>
      <c r="L76" s="14" t="n">
        <v>0.918</v>
      </c>
      <c r="M76" s="14" t="n">
        <v>1.758</v>
      </c>
      <c r="N76" s="14" t="n">
        <v>1.379</v>
      </c>
      <c r="O76" s="14" t="n">
        <v>0.939</v>
      </c>
      <c r="P76" s="14" t="n">
        <v>0.7</v>
      </c>
      <c r="Q76" s="14" t="n">
        <v>0.7</v>
      </c>
      <c r="R76" s="14" t="n">
        <v>1</v>
      </c>
      <c r="S76" s="15" t="b">
        <f aca="false">FALSE()</f>
        <v>0</v>
      </c>
      <c r="T76" s="15" t="b">
        <f aca="false">TRUE()</f>
        <v>1</v>
      </c>
      <c r="U76" s="14" t="n">
        <v>2</v>
      </c>
      <c r="V76" s="15" t="b">
        <f aca="false">FALSE()</f>
        <v>0</v>
      </c>
      <c r="W76" s="14" t="s">
        <v>121</v>
      </c>
    </row>
    <row r="77" customFormat="false" ht="15" hidden="false" customHeight="false" outlineLevel="0" collapsed="false">
      <c r="A77" s="4" t="n">
        <v>75</v>
      </c>
      <c r="B77" s="4" t="n">
        <v>0.35</v>
      </c>
      <c r="C77" s="11" t="b">
        <f aca="false">FALSE()</f>
        <v>0</v>
      </c>
      <c r="D77" s="4" t="n">
        <v>2572</v>
      </c>
      <c r="E77" s="4" t="n">
        <v>9972</v>
      </c>
      <c r="F77" s="4" t="n">
        <v>498</v>
      </c>
      <c r="G77" s="4" t="n">
        <v>9.94</v>
      </c>
      <c r="H77" s="4" t="n">
        <v>50.1</v>
      </c>
      <c r="I77" s="4" t="n">
        <v>9.146</v>
      </c>
      <c r="J77" s="4" t="n">
        <v>4.013</v>
      </c>
      <c r="K77" s="4" t="n">
        <v>4.013</v>
      </c>
      <c r="L77" s="4" t="n">
        <v>0.92</v>
      </c>
      <c r="M77" s="4" t="n">
        <v>1.8</v>
      </c>
      <c r="N77" s="4" t="n">
        <v>0.673</v>
      </c>
      <c r="O77" s="4" t="n">
        <v>0.999</v>
      </c>
      <c r="P77" s="4" t="n">
        <v>0.3497</v>
      </c>
      <c r="Q77" s="4" t="n">
        <v>0.3497</v>
      </c>
      <c r="R77" s="4" t="n">
        <v>1</v>
      </c>
      <c r="S77" s="11" t="b">
        <f aca="false">FALSE()</f>
        <v>0</v>
      </c>
      <c r="T77" s="11" t="b">
        <f aca="false">FALSE()</f>
        <v>0</v>
      </c>
      <c r="U77" s="4" t="n">
        <v>0</v>
      </c>
      <c r="V77" s="11" t="b">
        <f aca="false">FALSE()</f>
        <v>0</v>
      </c>
      <c r="W77" s="4" t="s">
        <v>116</v>
      </c>
    </row>
    <row r="78" customFormat="false" ht="15" hidden="false" customHeight="false" outlineLevel="0" collapsed="false">
      <c r="A78" s="14" t="n">
        <v>76</v>
      </c>
      <c r="B78" s="14" t="n">
        <v>0.35</v>
      </c>
      <c r="C78" s="15" t="b">
        <f aca="false">FALSE()</f>
        <v>0</v>
      </c>
      <c r="D78" s="14" t="n">
        <v>2640</v>
      </c>
      <c r="E78" s="14" t="n">
        <v>10387</v>
      </c>
      <c r="F78" s="14" t="n">
        <v>520</v>
      </c>
      <c r="G78" s="14" t="n">
        <v>10.38</v>
      </c>
      <c r="H78" s="14" t="n">
        <v>50.1</v>
      </c>
      <c r="I78" s="14" t="n">
        <v>9.365</v>
      </c>
      <c r="J78" s="14" t="n">
        <v>3.995</v>
      </c>
      <c r="K78" s="14" t="n">
        <v>3.995</v>
      </c>
      <c r="L78" s="14" t="n">
        <v>0.902</v>
      </c>
      <c r="M78" s="14" t="n">
        <v>1.691</v>
      </c>
      <c r="N78" s="14" t="n">
        <v>0.679</v>
      </c>
      <c r="O78" s="14" t="n">
        <v>0.836</v>
      </c>
      <c r="P78" s="14" t="n">
        <v>0.3497</v>
      </c>
      <c r="Q78" s="14" t="n">
        <v>0.3497</v>
      </c>
      <c r="R78" s="14" t="n">
        <v>1</v>
      </c>
      <c r="S78" s="15" t="b">
        <f aca="false">FALSE()</f>
        <v>0</v>
      </c>
      <c r="T78" s="15" t="b">
        <f aca="false">TRUE()</f>
        <v>1</v>
      </c>
      <c r="U78" s="14" t="n">
        <v>1</v>
      </c>
      <c r="V78" s="15" t="b">
        <f aca="false">FALSE()</f>
        <v>0</v>
      </c>
      <c r="W78" s="14" t="s">
        <v>119</v>
      </c>
    </row>
    <row r="79" customFormat="false" ht="15" hidden="false" customHeight="false" outlineLevel="0" collapsed="false">
      <c r="A79" s="4" t="n">
        <v>77</v>
      </c>
      <c r="B79" s="4" t="n">
        <v>0.7</v>
      </c>
      <c r="C79" s="11" t="b">
        <f aca="false">FALSE()</f>
        <v>0</v>
      </c>
      <c r="D79" s="4" t="n">
        <v>3321</v>
      </c>
      <c r="E79" s="4" t="n">
        <v>10957</v>
      </c>
      <c r="F79" s="4" t="n">
        <v>547</v>
      </c>
      <c r="G79" s="4" t="n">
        <v>10.92</v>
      </c>
      <c r="H79" s="4" t="n">
        <v>50.1</v>
      </c>
      <c r="I79" s="4" t="n">
        <v>9.074</v>
      </c>
      <c r="J79" s="4" t="n">
        <v>3.991</v>
      </c>
      <c r="K79" s="4" t="n">
        <v>3.991</v>
      </c>
      <c r="L79" s="4" t="n">
        <v>0.831</v>
      </c>
      <c r="M79" s="4" t="n">
        <v>1.647</v>
      </c>
      <c r="N79" s="4" t="n">
        <v>1.397</v>
      </c>
      <c r="O79" s="4" t="n">
        <v>0.985</v>
      </c>
      <c r="P79" s="4" t="n">
        <v>0.7</v>
      </c>
      <c r="Q79" s="4" t="n">
        <v>0.7</v>
      </c>
      <c r="R79" s="4" t="n">
        <v>1</v>
      </c>
      <c r="S79" s="11" t="b">
        <f aca="false">FALSE()</f>
        <v>0</v>
      </c>
      <c r="T79" s="11" t="b">
        <f aca="false">FALSE()</f>
        <v>0</v>
      </c>
      <c r="U79" s="4" t="n">
        <v>0</v>
      </c>
      <c r="V79" s="11" t="b">
        <f aca="false">FALSE()</f>
        <v>0</v>
      </c>
      <c r="W79" s="4" t="s">
        <v>116</v>
      </c>
    </row>
    <row r="80" customFormat="false" ht="15" hidden="false" customHeight="false" outlineLevel="0" collapsed="false">
      <c r="A80" s="5" t="n">
        <v>78</v>
      </c>
      <c r="B80" s="5" t="n">
        <v>0.7</v>
      </c>
      <c r="C80" s="10" t="b">
        <f aca="false">FALSE()</f>
        <v>0</v>
      </c>
      <c r="D80" s="5" t="n">
        <v>3113</v>
      </c>
      <c r="E80" s="5" t="n">
        <v>10528</v>
      </c>
      <c r="F80" s="5" t="n">
        <v>527</v>
      </c>
      <c r="G80" s="5" t="n">
        <v>10.52</v>
      </c>
      <c r="H80" s="5" t="n">
        <v>50.1</v>
      </c>
      <c r="I80" s="5" t="n">
        <v>9.397</v>
      </c>
      <c r="J80" s="5" t="n">
        <v>3.994</v>
      </c>
      <c r="K80" s="5" t="n">
        <v>3.994</v>
      </c>
      <c r="L80" s="5" t="n">
        <v>0.893</v>
      </c>
      <c r="M80" s="5" t="n">
        <v>1.854</v>
      </c>
      <c r="N80" s="5" t="n">
        <v>1.395</v>
      </c>
      <c r="O80" s="5" t="n">
        <v>0.855</v>
      </c>
      <c r="P80" s="5" t="n">
        <v>0.7</v>
      </c>
      <c r="Q80" s="5" t="n">
        <v>0.7</v>
      </c>
      <c r="R80" s="5" t="n">
        <v>1</v>
      </c>
      <c r="S80" s="10" t="b">
        <f aca="false">FALSE()</f>
        <v>0</v>
      </c>
      <c r="T80" s="10" t="b">
        <f aca="false">FALSE()</f>
        <v>0</v>
      </c>
      <c r="U80" s="5" t="n">
        <v>0</v>
      </c>
      <c r="V80" s="10" t="b">
        <f aca="false">FALSE()</f>
        <v>0</v>
      </c>
      <c r="W80" s="5" t="s">
        <v>116</v>
      </c>
    </row>
    <row r="81" customFormat="false" ht="15" hidden="false" customHeight="false" outlineLevel="0" collapsed="false">
      <c r="A81" s="4" t="n">
        <v>79</v>
      </c>
      <c r="B81" s="4" t="n">
        <v>0.35</v>
      </c>
      <c r="C81" s="11" t="b">
        <f aca="false">FALSE()</f>
        <v>0</v>
      </c>
      <c r="D81" s="4" t="n">
        <v>2558</v>
      </c>
      <c r="E81" s="4" t="n">
        <v>10222</v>
      </c>
      <c r="F81" s="4" t="n">
        <v>511</v>
      </c>
      <c r="G81" s="4" t="n">
        <v>10.2</v>
      </c>
      <c r="H81" s="4" t="n">
        <v>50.1</v>
      </c>
      <c r="I81" s="4" t="n">
        <v>9.103</v>
      </c>
      <c r="J81" s="4" t="n">
        <v>3.996</v>
      </c>
      <c r="K81" s="4" t="n">
        <v>3.996</v>
      </c>
      <c r="L81" s="4" t="n">
        <v>0.892</v>
      </c>
      <c r="M81" s="4" t="n">
        <v>1.833</v>
      </c>
      <c r="N81" s="4" t="n">
        <v>0.689</v>
      </c>
      <c r="O81" s="4" t="n">
        <v>0.989</v>
      </c>
      <c r="P81" s="4" t="n">
        <v>0.35</v>
      </c>
      <c r="Q81" s="4" t="n">
        <v>0.35</v>
      </c>
      <c r="R81" s="4" t="n">
        <v>1</v>
      </c>
      <c r="S81" s="11" t="b">
        <f aca="false">FALSE()</f>
        <v>0</v>
      </c>
      <c r="T81" s="11" t="b">
        <f aca="false">FALSE()</f>
        <v>0</v>
      </c>
      <c r="U81" s="4" t="n">
        <v>0</v>
      </c>
      <c r="V81" s="11" t="b">
        <f aca="false">FALSE()</f>
        <v>0</v>
      </c>
      <c r="W81" s="4" t="s">
        <v>116</v>
      </c>
    </row>
    <row r="82" customFormat="false" ht="15" hidden="false" customHeight="false" outlineLevel="0" collapsed="false">
      <c r="A82" s="12" t="n">
        <v>80</v>
      </c>
      <c r="B82" s="12" t="n">
        <v>0.35</v>
      </c>
      <c r="C82" s="13" t="b">
        <f aca="false">TRUE()</f>
        <v>1</v>
      </c>
      <c r="D82" s="12" t="n">
        <v>3002</v>
      </c>
      <c r="E82" s="12" t="n">
        <v>50898</v>
      </c>
      <c r="F82" s="12" t="n">
        <v>2545</v>
      </c>
      <c r="G82" s="12" t="n">
        <v>50.88</v>
      </c>
      <c r="H82" s="12" t="n">
        <v>50</v>
      </c>
      <c r="I82" s="12" t="n">
        <v>13.477</v>
      </c>
      <c r="J82" s="12" t="n">
        <v>4.009</v>
      </c>
      <c r="K82" s="12" t="n">
        <v>4.009</v>
      </c>
      <c r="L82" s="12" t="n">
        <v>0.265</v>
      </c>
      <c r="M82" s="12" t="n">
        <v>1.667</v>
      </c>
      <c r="N82" s="12" t="n">
        <v>0.689</v>
      </c>
      <c r="O82" s="12" t="n">
        <v>0.786</v>
      </c>
      <c r="P82" s="12" t="n">
        <v>0.35</v>
      </c>
      <c r="Q82" s="12" t="n">
        <v>0.35</v>
      </c>
      <c r="R82" s="12" t="n">
        <v>1</v>
      </c>
      <c r="S82" s="13" t="b">
        <f aca="false">TRUE()</f>
        <v>1</v>
      </c>
      <c r="T82" s="13" t="b">
        <f aca="false">FALSE()</f>
        <v>0</v>
      </c>
      <c r="U82" s="12" t="n">
        <v>0</v>
      </c>
      <c r="V82" s="13" t="b">
        <f aca="false">FALSE()</f>
        <v>0</v>
      </c>
      <c r="W82" s="12" t="s">
        <v>118</v>
      </c>
    </row>
    <row r="83" customFormat="false" ht="15" hidden="false" customHeight="false" outlineLevel="0" collapsed="false">
      <c r="A83" s="4" t="n">
        <v>81</v>
      </c>
      <c r="B83" s="4" t="n">
        <v>0.7</v>
      </c>
      <c r="C83" s="11" t="b">
        <f aca="false">FALSE()</f>
        <v>0</v>
      </c>
      <c r="D83" s="4" t="n">
        <v>3447</v>
      </c>
      <c r="E83" s="4" t="n">
        <v>11000</v>
      </c>
      <c r="F83" s="4" t="n">
        <v>550</v>
      </c>
      <c r="G83" s="4" t="n">
        <v>10.98</v>
      </c>
      <c r="H83" s="4" t="n">
        <v>50.1</v>
      </c>
      <c r="I83" s="4" t="n">
        <v>8.969</v>
      </c>
      <c r="J83" s="4" t="n">
        <v>4</v>
      </c>
      <c r="K83" s="4" t="n">
        <v>4</v>
      </c>
      <c r="L83" s="4" t="n">
        <v>0.817</v>
      </c>
      <c r="M83" s="4" t="n">
        <v>1.596</v>
      </c>
      <c r="N83" s="4" t="n">
        <v>1.374</v>
      </c>
      <c r="O83" s="4" t="n">
        <v>0.801</v>
      </c>
      <c r="P83" s="4" t="n">
        <v>0.6998</v>
      </c>
      <c r="Q83" s="4" t="n">
        <v>0.6998</v>
      </c>
      <c r="R83" s="4" t="n">
        <v>1</v>
      </c>
      <c r="S83" s="11" t="b">
        <f aca="false">FALSE()</f>
        <v>0</v>
      </c>
      <c r="T83" s="11" t="b">
        <f aca="false">FALSE()</f>
        <v>0</v>
      </c>
      <c r="U83" s="4" t="n">
        <v>0</v>
      </c>
      <c r="V83" s="11" t="b">
        <f aca="false">FALSE()</f>
        <v>0</v>
      </c>
      <c r="W83" s="4" t="s">
        <v>116</v>
      </c>
    </row>
    <row r="84" customFormat="false" ht="15" hidden="false" customHeight="false" outlineLevel="0" collapsed="false">
      <c r="A84" s="14" t="n">
        <v>82</v>
      </c>
      <c r="B84" s="14" t="n">
        <v>0.7</v>
      </c>
      <c r="C84" s="15" t="b">
        <f aca="false">FALSE()</f>
        <v>0</v>
      </c>
      <c r="D84" s="14" t="n">
        <v>3655</v>
      </c>
      <c r="E84" s="14" t="n">
        <v>11929</v>
      </c>
      <c r="F84" s="14" t="n">
        <v>596</v>
      </c>
      <c r="G84" s="14" t="n">
        <v>11.9</v>
      </c>
      <c r="H84" s="14" t="n">
        <v>50.1</v>
      </c>
      <c r="I84" s="14" t="n">
        <v>9.535</v>
      </c>
      <c r="J84" s="14" t="n">
        <v>3.985</v>
      </c>
      <c r="K84" s="14" t="n">
        <v>3.985</v>
      </c>
      <c r="L84" s="14" t="n">
        <v>0.801</v>
      </c>
      <c r="M84" s="14" t="n">
        <v>1.492</v>
      </c>
      <c r="N84" s="14" t="n">
        <v>1.381</v>
      </c>
      <c r="O84" s="14" t="n">
        <v>0.818</v>
      </c>
      <c r="P84" s="14" t="n">
        <v>0.7</v>
      </c>
      <c r="Q84" s="14" t="n">
        <v>0.7</v>
      </c>
      <c r="R84" s="14" t="n">
        <v>1</v>
      </c>
      <c r="S84" s="15" t="b">
        <f aca="false">FALSE()</f>
        <v>0</v>
      </c>
      <c r="T84" s="15" t="b">
        <f aca="false">TRUE()</f>
        <v>1</v>
      </c>
      <c r="U84" s="14" t="n">
        <v>1</v>
      </c>
      <c r="V84" s="15" t="b">
        <f aca="false">FALSE()</f>
        <v>0</v>
      </c>
      <c r="W84" s="14" t="s">
        <v>119</v>
      </c>
    </row>
    <row r="85" customFormat="false" ht="15" hidden="false" customHeight="false" outlineLevel="0" collapsed="false">
      <c r="A85" s="4" t="n">
        <v>83</v>
      </c>
      <c r="B85" s="4" t="n">
        <v>0.35</v>
      </c>
      <c r="C85" s="11" t="b">
        <f aca="false">FALSE()</f>
        <v>0</v>
      </c>
      <c r="D85" s="4" t="n">
        <v>2808</v>
      </c>
      <c r="E85" s="4" t="n">
        <v>10832</v>
      </c>
      <c r="F85" s="4" t="n">
        <v>542</v>
      </c>
      <c r="G85" s="4" t="n">
        <v>10.82</v>
      </c>
      <c r="H85" s="4" t="n">
        <v>50.1</v>
      </c>
      <c r="I85" s="4" t="n">
        <v>9.254</v>
      </c>
      <c r="J85" s="4" t="n">
        <v>4.002</v>
      </c>
      <c r="K85" s="4" t="n">
        <v>4.002</v>
      </c>
      <c r="L85" s="4" t="n">
        <v>0.855</v>
      </c>
      <c r="M85" s="4" t="n">
        <v>1.651</v>
      </c>
      <c r="N85" s="4" t="n">
        <v>0.672</v>
      </c>
      <c r="O85" s="4" t="n">
        <v>0.906</v>
      </c>
      <c r="P85" s="4" t="n">
        <v>0.35</v>
      </c>
      <c r="Q85" s="4" t="n">
        <v>0.35</v>
      </c>
      <c r="R85" s="4" t="n">
        <v>1</v>
      </c>
      <c r="S85" s="11" t="b">
        <f aca="false">FALSE()</f>
        <v>0</v>
      </c>
      <c r="T85" s="11" t="b">
        <f aca="false">FALSE()</f>
        <v>0</v>
      </c>
      <c r="U85" s="4" t="n">
        <v>0</v>
      </c>
      <c r="V85" s="11" t="b">
        <f aca="false">FALSE()</f>
        <v>0</v>
      </c>
      <c r="W85" s="4" t="s">
        <v>116</v>
      </c>
    </row>
    <row r="86" customFormat="false" ht="15" hidden="false" customHeight="false" outlineLevel="0" collapsed="false">
      <c r="A86" s="14" t="n">
        <v>84</v>
      </c>
      <c r="B86" s="14" t="n">
        <v>0.35</v>
      </c>
      <c r="C86" s="15" t="b">
        <f aca="false">FALSE()</f>
        <v>0</v>
      </c>
      <c r="D86" s="14" t="n">
        <v>2822</v>
      </c>
      <c r="E86" s="14" t="n">
        <v>11930</v>
      </c>
      <c r="F86" s="14" t="n">
        <v>596</v>
      </c>
      <c r="G86" s="14" t="n">
        <v>11.9</v>
      </c>
      <c r="H86" s="14" t="n">
        <v>50.1</v>
      </c>
      <c r="I86" s="14" t="n">
        <v>9.72</v>
      </c>
      <c r="J86" s="14" t="n">
        <v>3.986</v>
      </c>
      <c r="K86" s="14" t="n">
        <v>3.986</v>
      </c>
      <c r="L86" s="14" t="n">
        <v>0.817</v>
      </c>
      <c r="M86" s="14" t="n">
        <v>3.486</v>
      </c>
      <c r="N86" s="14" t="n">
        <v>0.688</v>
      </c>
      <c r="O86" s="14" t="n">
        <v>0.877</v>
      </c>
      <c r="P86" s="14" t="n">
        <v>0.3499</v>
      </c>
      <c r="Q86" s="14" t="n">
        <v>0.3499</v>
      </c>
      <c r="R86" s="14" t="n">
        <v>1</v>
      </c>
      <c r="S86" s="15" t="b">
        <f aca="false">FALSE()</f>
        <v>0</v>
      </c>
      <c r="T86" s="15" t="b">
        <f aca="false">TRUE()</f>
        <v>1</v>
      </c>
      <c r="U86" s="14" t="n">
        <v>1</v>
      </c>
      <c r="V86" s="15" t="b">
        <f aca="false">FALSE()</f>
        <v>0</v>
      </c>
      <c r="W86" s="14" t="s">
        <v>119</v>
      </c>
    </row>
    <row r="87" customFormat="false" ht="15" hidden="false" customHeight="false" outlineLevel="0" collapsed="false">
      <c r="A87" s="4" t="n">
        <v>85</v>
      </c>
      <c r="B87" s="4" t="n">
        <v>0.35</v>
      </c>
      <c r="C87" s="11" t="b">
        <f aca="false">FALSE()</f>
        <v>0</v>
      </c>
      <c r="D87" s="4" t="n">
        <v>2849</v>
      </c>
      <c r="E87" s="4" t="n">
        <v>11082</v>
      </c>
      <c r="F87" s="4" t="n">
        <v>554</v>
      </c>
      <c r="G87" s="4" t="n">
        <v>11.06</v>
      </c>
      <c r="H87" s="4" t="n">
        <v>50.1</v>
      </c>
      <c r="I87" s="4" t="n">
        <v>9.508</v>
      </c>
      <c r="J87" s="4" t="n">
        <v>3.99</v>
      </c>
      <c r="K87" s="4" t="n">
        <v>3.99</v>
      </c>
      <c r="L87" s="4" t="n">
        <v>0.86</v>
      </c>
      <c r="M87" s="4" t="n">
        <v>1.619</v>
      </c>
      <c r="N87" s="4" t="n">
        <v>0.689</v>
      </c>
      <c r="O87" s="4" t="n">
        <v>1.06</v>
      </c>
      <c r="P87" s="4" t="n">
        <v>0.35</v>
      </c>
      <c r="Q87" s="4" t="n">
        <v>0.35</v>
      </c>
      <c r="R87" s="4" t="n">
        <v>1</v>
      </c>
      <c r="S87" s="11" t="b">
        <f aca="false">FALSE()</f>
        <v>0</v>
      </c>
      <c r="T87" s="11" t="b">
        <f aca="false">FALSE()</f>
        <v>0</v>
      </c>
      <c r="U87" s="4" t="n">
        <v>0</v>
      </c>
      <c r="V87" s="11" t="b">
        <f aca="false">FALSE()</f>
        <v>0</v>
      </c>
      <c r="W87" s="4" t="s">
        <v>116</v>
      </c>
    </row>
    <row r="88" customFormat="false" ht="15" hidden="false" customHeight="false" outlineLevel="0" collapsed="false">
      <c r="A88" s="5" t="n">
        <v>86</v>
      </c>
      <c r="B88" s="5" t="n">
        <v>0.7</v>
      </c>
      <c r="C88" s="10" t="b">
        <f aca="false">FALSE()</f>
        <v>0</v>
      </c>
      <c r="D88" s="5" t="n">
        <v>3391</v>
      </c>
      <c r="E88" s="5" t="n">
        <v>11125</v>
      </c>
      <c r="F88" s="5" t="n">
        <v>557</v>
      </c>
      <c r="G88" s="5" t="n">
        <v>11.12</v>
      </c>
      <c r="H88" s="5" t="n">
        <v>50.1</v>
      </c>
      <c r="I88" s="5" t="n">
        <v>9.651</v>
      </c>
      <c r="J88" s="5" t="n">
        <v>4.005</v>
      </c>
      <c r="K88" s="5" t="n">
        <v>4.005</v>
      </c>
      <c r="L88" s="5" t="n">
        <v>0.868</v>
      </c>
      <c r="M88" s="5" t="n">
        <v>1.698</v>
      </c>
      <c r="N88" s="5" t="n">
        <v>1.391</v>
      </c>
      <c r="O88" s="5" t="n">
        <v>0.844</v>
      </c>
      <c r="P88" s="5" t="n">
        <v>0.7</v>
      </c>
      <c r="Q88" s="5" t="n">
        <v>0.7</v>
      </c>
      <c r="R88" s="5" t="n">
        <v>1</v>
      </c>
      <c r="S88" s="10" t="b">
        <f aca="false">FALSE()</f>
        <v>0</v>
      </c>
      <c r="T88" s="10" t="b">
        <f aca="false">FALSE()</f>
        <v>0</v>
      </c>
      <c r="U88" s="5" t="n">
        <v>0</v>
      </c>
      <c r="V88" s="10" t="b">
        <f aca="false">FALSE()</f>
        <v>0</v>
      </c>
      <c r="W88" s="5" t="s">
        <v>116</v>
      </c>
    </row>
    <row r="89" customFormat="false" ht="15" hidden="false" customHeight="false" outlineLevel="0" collapsed="false">
      <c r="A89" s="14" t="n">
        <v>87</v>
      </c>
      <c r="B89" s="14" t="n">
        <v>0.7</v>
      </c>
      <c r="C89" s="15" t="b">
        <f aca="false">FALSE()</f>
        <v>0</v>
      </c>
      <c r="D89" s="14" t="n">
        <v>3515</v>
      </c>
      <c r="E89" s="14" t="n">
        <v>11193</v>
      </c>
      <c r="F89" s="14" t="n">
        <v>559</v>
      </c>
      <c r="G89" s="14" t="n">
        <v>11.16</v>
      </c>
      <c r="H89" s="14" t="n">
        <v>50.1</v>
      </c>
      <c r="I89" s="14" t="n">
        <v>9.304</v>
      </c>
      <c r="J89" s="14" t="n">
        <v>3.998</v>
      </c>
      <c r="K89" s="14" t="n">
        <v>3.998</v>
      </c>
      <c r="L89" s="14" t="n">
        <v>0.834</v>
      </c>
      <c r="M89" s="14" t="n">
        <v>1.523</v>
      </c>
      <c r="N89" s="14" t="n">
        <v>1.375</v>
      </c>
      <c r="O89" s="14" t="n">
        <v>0.819</v>
      </c>
      <c r="P89" s="14" t="n">
        <v>0.7</v>
      </c>
      <c r="Q89" s="14" t="n">
        <v>0.7</v>
      </c>
      <c r="R89" s="14" t="n">
        <v>1</v>
      </c>
      <c r="S89" s="15" t="b">
        <f aca="false">FALSE()</f>
        <v>0</v>
      </c>
      <c r="T89" s="15" t="b">
        <f aca="false">TRUE()</f>
        <v>1</v>
      </c>
      <c r="U89" s="14" t="n">
        <v>1</v>
      </c>
      <c r="V89" s="15" t="b">
        <f aca="false">FALSE()</f>
        <v>0</v>
      </c>
      <c r="W89" s="14" t="s">
        <v>119</v>
      </c>
    </row>
    <row r="90" customFormat="false" ht="15" hidden="false" customHeight="false" outlineLevel="0" collapsed="false">
      <c r="A90" s="14" t="n">
        <v>88</v>
      </c>
      <c r="B90" s="14" t="n">
        <v>0.35</v>
      </c>
      <c r="C90" s="15" t="b">
        <f aca="false">FALSE()</f>
        <v>0</v>
      </c>
      <c r="D90" s="14" t="n">
        <v>2932</v>
      </c>
      <c r="E90" s="14" t="n">
        <v>12054</v>
      </c>
      <c r="F90" s="14" t="n">
        <v>603</v>
      </c>
      <c r="G90" s="14" t="n">
        <v>12.04</v>
      </c>
      <c r="H90" s="14" t="n">
        <v>50.1</v>
      </c>
      <c r="I90" s="14" t="n">
        <v>9.484</v>
      </c>
      <c r="J90" s="14" t="n">
        <v>4.007</v>
      </c>
      <c r="K90" s="14" t="n">
        <v>4.007</v>
      </c>
      <c r="L90" s="14" t="n">
        <v>0.788</v>
      </c>
      <c r="M90" s="14" t="n">
        <v>1.504</v>
      </c>
      <c r="N90" s="14" t="n">
        <v>0.684</v>
      </c>
      <c r="O90" s="14" t="n">
        <v>0.723</v>
      </c>
      <c r="P90" s="14" t="n">
        <v>0.35</v>
      </c>
      <c r="Q90" s="14" t="n">
        <v>0.35</v>
      </c>
      <c r="R90" s="14" t="n">
        <v>1</v>
      </c>
      <c r="S90" s="15" t="b">
        <f aca="false">FALSE()</f>
        <v>0</v>
      </c>
      <c r="T90" s="15" t="b">
        <f aca="false">TRUE()</f>
        <v>1</v>
      </c>
      <c r="U90" s="14" t="n">
        <v>1</v>
      </c>
      <c r="V90" s="15" t="b">
        <f aca="false">FALSE()</f>
        <v>0</v>
      </c>
      <c r="W90" s="14" t="s">
        <v>119</v>
      </c>
    </row>
    <row r="91" customFormat="false" ht="15" hidden="false" customHeight="false" outlineLevel="0" collapsed="false">
      <c r="A91" s="4" t="n">
        <v>89</v>
      </c>
      <c r="B91" s="4" t="n">
        <v>0.35</v>
      </c>
      <c r="C91" s="11" t="b">
        <f aca="false">FALSE()</f>
        <v>0</v>
      </c>
      <c r="D91" s="4" t="n">
        <v>2831</v>
      </c>
      <c r="E91" s="4" t="n">
        <v>10982</v>
      </c>
      <c r="F91" s="4" t="n">
        <v>549</v>
      </c>
      <c r="G91" s="4" t="n">
        <v>10.96</v>
      </c>
      <c r="H91" s="4" t="n">
        <v>50.1</v>
      </c>
      <c r="I91" s="4" t="n">
        <v>9.212</v>
      </c>
      <c r="J91" s="4" t="n">
        <v>4</v>
      </c>
      <c r="K91" s="4" t="n">
        <v>4</v>
      </c>
      <c r="L91" s="4" t="n">
        <v>0.84</v>
      </c>
      <c r="M91" s="4" t="n">
        <v>1.54</v>
      </c>
      <c r="N91" s="4" t="n">
        <v>0.679</v>
      </c>
      <c r="O91" s="4" t="n">
        <v>1.036</v>
      </c>
      <c r="P91" s="4" t="n">
        <v>0.35</v>
      </c>
      <c r="Q91" s="4" t="n">
        <v>0.35</v>
      </c>
      <c r="R91" s="4" t="n">
        <v>1</v>
      </c>
      <c r="S91" s="11" t="b">
        <f aca="false">FALSE()</f>
        <v>0</v>
      </c>
      <c r="T91" s="11" t="b">
        <f aca="false">FALSE()</f>
        <v>0</v>
      </c>
      <c r="U91" s="4" t="n">
        <v>0</v>
      </c>
      <c r="V91" s="11" t="b">
        <f aca="false">FALSE()</f>
        <v>0</v>
      </c>
      <c r="W91" s="4" t="s">
        <v>116</v>
      </c>
    </row>
    <row r="92" customFormat="false" ht="15" hidden="false" customHeight="false" outlineLevel="0" collapsed="false">
      <c r="A92" s="12" t="n">
        <v>90</v>
      </c>
      <c r="B92" s="12" t="n">
        <v>0.7</v>
      </c>
      <c r="C92" s="13" t="b">
        <f aca="false">FALSE()</f>
        <v>0</v>
      </c>
      <c r="D92" s="12" t="n">
        <v>3654</v>
      </c>
      <c r="E92" s="12" t="n">
        <v>56986</v>
      </c>
      <c r="F92" s="12" t="n">
        <v>2849</v>
      </c>
      <c r="G92" s="12" t="n">
        <v>56.96</v>
      </c>
      <c r="H92" s="12" t="n">
        <v>50</v>
      </c>
      <c r="I92" s="12" t="n">
        <v>16.622</v>
      </c>
      <c r="J92" s="12" t="n">
        <v>3.976</v>
      </c>
      <c r="K92" s="12" t="n">
        <v>3.976</v>
      </c>
      <c r="L92" s="12" t="n">
        <v>0.292</v>
      </c>
      <c r="M92" s="12" t="n">
        <v>1.612</v>
      </c>
      <c r="N92" s="12" t="n">
        <v>1.392</v>
      </c>
      <c r="O92" s="12" t="n">
        <v>0.612</v>
      </c>
      <c r="P92" s="12" t="n">
        <v>0.7</v>
      </c>
      <c r="Q92" s="12" t="n">
        <v>0.7</v>
      </c>
      <c r="R92" s="12" t="n">
        <v>1</v>
      </c>
      <c r="S92" s="13" t="b">
        <f aca="false">TRUE()</f>
        <v>1</v>
      </c>
      <c r="T92" s="13" t="b">
        <f aca="false">TRUE()</f>
        <v>1</v>
      </c>
      <c r="U92" s="12" t="n">
        <v>3</v>
      </c>
      <c r="V92" s="13" t="b">
        <f aca="false">FALSE()</f>
        <v>0</v>
      </c>
      <c r="W92" s="12" t="s">
        <v>122</v>
      </c>
    </row>
    <row r="93" customFormat="false" ht="15" hidden="false" customHeight="false" outlineLevel="0" collapsed="false">
      <c r="A93" s="4" t="n">
        <v>91</v>
      </c>
      <c r="B93" s="4" t="n">
        <v>0.7</v>
      </c>
      <c r="C93" s="11" t="b">
        <f aca="false">FALSE()</f>
        <v>0</v>
      </c>
      <c r="D93" s="4" t="n">
        <v>3433</v>
      </c>
      <c r="E93" s="4" t="n">
        <v>10583</v>
      </c>
      <c r="F93" s="4" t="n">
        <v>530</v>
      </c>
      <c r="G93" s="4" t="n">
        <v>10.58</v>
      </c>
      <c r="H93" s="4" t="n">
        <v>50.1</v>
      </c>
      <c r="I93" s="4" t="n">
        <v>9.213</v>
      </c>
      <c r="J93" s="4" t="n">
        <v>3.99</v>
      </c>
      <c r="K93" s="4" t="n">
        <v>3.99</v>
      </c>
      <c r="L93" s="4" t="n">
        <v>0.871</v>
      </c>
      <c r="M93" s="4" t="n">
        <v>1.616</v>
      </c>
      <c r="N93" s="4" t="n">
        <v>1.394</v>
      </c>
      <c r="O93" s="4" t="n">
        <v>1.003</v>
      </c>
      <c r="P93" s="4" t="n">
        <v>0.7</v>
      </c>
      <c r="Q93" s="4" t="n">
        <v>0.7</v>
      </c>
      <c r="R93" s="4" t="n">
        <v>1</v>
      </c>
      <c r="S93" s="11" t="b">
        <f aca="false">FALSE()</f>
        <v>0</v>
      </c>
      <c r="T93" s="11" t="b">
        <f aca="false">FALSE()</f>
        <v>0</v>
      </c>
      <c r="U93" s="4" t="n">
        <v>0</v>
      </c>
      <c r="V93" s="11" t="b">
        <f aca="false">FALSE()</f>
        <v>0</v>
      </c>
      <c r="W93" s="4" t="s">
        <v>116</v>
      </c>
    </row>
    <row r="94" customFormat="false" ht="15" hidden="false" customHeight="false" outlineLevel="0" collapsed="false">
      <c r="A94" s="5" t="n">
        <v>92</v>
      </c>
      <c r="B94" s="5" t="n">
        <v>0.35</v>
      </c>
      <c r="C94" s="10" t="b">
        <f aca="false">FALSE()</f>
        <v>0</v>
      </c>
      <c r="D94" s="5" t="n">
        <v>2697</v>
      </c>
      <c r="E94" s="5" t="n">
        <v>10903</v>
      </c>
      <c r="F94" s="5" t="n">
        <v>545</v>
      </c>
      <c r="G94" s="5" t="n">
        <v>10.88</v>
      </c>
      <c r="H94" s="5" t="n">
        <v>50.1</v>
      </c>
      <c r="I94" s="5" t="n">
        <v>9.318</v>
      </c>
      <c r="J94" s="5" t="n">
        <v>4.004</v>
      </c>
      <c r="K94" s="5" t="n">
        <v>4.004</v>
      </c>
      <c r="L94" s="5" t="n">
        <v>0.856</v>
      </c>
      <c r="M94" s="5" t="n">
        <v>1.638</v>
      </c>
      <c r="N94" s="5" t="n">
        <v>0.696</v>
      </c>
      <c r="O94" s="5" t="n">
        <v>0.98</v>
      </c>
      <c r="P94" s="5" t="n">
        <v>0.35</v>
      </c>
      <c r="Q94" s="5" t="n">
        <v>0.35</v>
      </c>
      <c r="R94" s="5" t="n">
        <v>1</v>
      </c>
      <c r="S94" s="10" t="b">
        <f aca="false">FALSE()</f>
        <v>0</v>
      </c>
      <c r="T94" s="10" t="b">
        <f aca="false">FALSE()</f>
        <v>0</v>
      </c>
      <c r="U94" s="5" t="n">
        <v>0</v>
      </c>
      <c r="V94" s="10" t="b">
        <f aca="false">FALSE()</f>
        <v>0</v>
      </c>
      <c r="W94" s="5" t="s">
        <v>116</v>
      </c>
    </row>
    <row r="95" customFormat="false" ht="15" hidden="false" customHeight="false" outlineLevel="0" collapsed="false">
      <c r="A95" s="14" t="n">
        <v>93</v>
      </c>
      <c r="B95" s="14" t="n">
        <v>0.35</v>
      </c>
      <c r="C95" s="15" t="b">
        <f aca="false">FALSE()</f>
        <v>0</v>
      </c>
      <c r="D95" s="14" t="n">
        <v>2514</v>
      </c>
      <c r="E95" s="14" t="n">
        <v>10914</v>
      </c>
      <c r="F95" s="14" t="n">
        <v>545</v>
      </c>
      <c r="G95" s="14" t="n">
        <v>10.88</v>
      </c>
      <c r="H95" s="14" t="n">
        <v>50.1</v>
      </c>
      <c r="I95" s="14" t="n">
        <v>9.121</v>
      </c>
      <c r="J95" s="14" t="n">
        <v>3.997</v>
      </c>
      <c r="K95" s="14" t="n">
        <v>3.997</v>
      </c>
      <c r="L95" s="14" t="n">
        <v>0.838</v>
      </c>
      <c r="M95" s="14" t="n">
        <v>1.703</v>
      </c>
      <c r="N95" s="14" t="n">
        <v>0.679</v>
      </c>
      <c r="O95" s="14" t="n">
        <v>1.093</v>
      </c>
      <c r="P95" s="14" t="n">
        <v>0.35</v>
      </c>
      <c r="Q95" s="14" t="n">
        <v>0.35</v>
      </c>
      <c r="R95" s="14" t="n">
        <v>1</v>
      </c>
      <c r="S95" s="15" t="b">
        <f aca="false">FALSE()</f>
        <v>0</v>
      </c>
      <c r="T95" s="15" t="b">
        <f aca="false">TRUE()</f>
        <v>1</v>
      </c>
      <c r="U95" s="14" t="n">
        <v>1</v>
      </c>
      <c r="V95" s="15" t="b">
        <f aca="false">FALSE()</f>
        <v>0</v>
      </c>
      <c r="W95" s="14" t="s">
        <v>119</v>
      </c>
    </row>
    <row r="96" customFormat="false" ht="15" hidden="false" customHeight="false" outlineLevel="0" collapsed="false">
      <c r="A96" s="14" t="n">
        <v>94</v>
      </c>
      <c r="B96" s="14" t="n">
        <v>0.7</v>
      </c>
      <c r="C96" s="15" t="b">
        <f aca="false">FALSE()</f>
        <v>0</v>
      </c>
      <c r="D96" s="14" t="n">
        <v>3253</v>
      </c>
      <c r="E96" s="14" t="n">
        <v>10347</v>
      </c>
      <c r="F96" s="14" t="n">
        <v>518</v>
      </c>
      <c r="G96" s="14" t="n">
        <v>10.34</v>
      </c>
      <c r="H96" s="14" t="n">
        <v>50.1</v>
      </c>
      <c r="I96" s="14" t="n">
        <v>9.428</v>
      </c>
      <c r="J96" s="14" t="n">
        <v>4.01</v>
      </c>
      <c r="K96" s="14" t="n">
        <v>4.01</v>
      </c>
      <c r="L96" s="14" t="n">
        <v>0.912</v>
      </c>
      <c r="M96" s="14" t="n">
        <v>1.675</v>
      </c>
      <c r="N96" s="14" t="n">
        <v>1.394</v>
      </c>
      <c r="O96" s="14" t="n">
        <v>0.846</v>
      </c>
      <c r="P96" s="14" t="n">
        <v>0.7001</v>
      </c>
      <c r="Q96" s="14" t="n">
        <v>0.7001</v>
      </c>
      <c r="R96" s="14" t="n">
        <v>1</v>
      </c>
      <c r="S96" s="15" t="b">
        <f aca="false">FALSE()</f>
        <v>0</v>
      </c>
      <c r="T96" s="15" t="b">
        <f aca="false">TRUE()</f>
        <v>1</v>
      </c>
      <c r="U96" s="14" t="n">
        <v>1</v>
      </c>
      <c r="V96" s="15" t="b">
        <f aca="false">FALSE()</f>
        <v>0</v>
      </c>
      <c r="W96" s="14" t="s">
        <v>119</v>
      </c>
    </row>
    <row r="97" customFormat="false" ht="15" hidden="false" customHeight="false" outlineLevel="0" collapsed="false">
      <c r="A97" s="4" t="n">
        <v>95</v>
      </c>
      <c r="B97" s="4" t="n">
        <v>0.7</v>
      </c>
      <c r="C97" s="11" t="b">
        <f aca="false">FALSE()</f>
        <v>0</v>
      </c>
      <c r="D97" s="4" t="n">
        <v>3571</v>
      </c>
      <c r="E97" s="4" t="n">
        <v>11554</v>
      </c>
      <c r="F97" s="4" t="n">
        <v>578</v>
      </c>
      <c r="G97" s="4" t="n">
        <v>11.54</v>
      </c>
      <c r="H97" s="4" t="n">
        <v>50.1</v>
      </c>
      <c r="I97" s="4" t="n">
        <v>9.35</v>
      </c>
      <c r="J97" s="4" t="n">
        <v>4</v>
      </c>
      <c r="K97" s="4" t="n">
        <v>4</v>
      </c>
      <c r="L97" s="4" t="n">
        <v>0.81</v>
      </c>
      <c r="M97" s="4" t="n">
        <v>1.575</v>
      </c>
      <c r="N97" s="4" t="n">
        <v>1.396</v>
      </c>
      <c r="O97" s="4" t="n">
        <v>0.999</v>
      </c>
      <c r="P97" s="4" t="n">
        <v>0.7</v>
      </c>
      <c r="Q97" s="4" t="n">
        <v>0.7</v>
      </c>
      <c r="R97" s="4" t="n">
        <v>1</v>
      </c>
      <c r="S97" s="11" t="b">
        <f aca="false">FALSE()</f>
        <v>0</v>
      </c>
      <c r="T97" s="11" t="b">
        <f aca="false">FALSE()</f>
        <v>0</v>
      </c>
      <c r="U97" s="4" t="n">
        <v>0</v>
      </c>
      <c r="V97" s="11" t="b">
        <f aca="false">FALSE()</f>
        <v>0</v>
      </c>
      <c r="W97" s="4" t="s">
        <v>116</v>
      </c>
    </row>
    <row r="98" customFormat="false" ht="15" hidden="false" customHeight="false" outlineLevel="0" collapsed="false">
      <c r="A98" s="14" t="n">
        <v>96</v>
      </c>
      <c r="B98" s="14" t="n">
        <v>0.35</v>
      </c>
      <c r="C98" s="15" t="b">
        <f aca="false">FALSE()</f>
        <v>0</v>
      </c>
      <c r="D98" s="14" t="n">
        <v>2821</v>
      </c>
      <c r="E98" s="14" t="n">
        <v>12027</v>
      </c>
      <c r="F98" s="14" t="n">
        <v>601</v>
      </c>
      <c r="G98" s="14" t="n">
        <v>12</v>
      </c>
      <c r="H98" s="14" t="n">
        <v>50.1</v>
      </c>
      <c r="I98" s="14" t="n">
        <v>9.684</v>
      </c>
      <c r="J98" s="14" t="n">
        <v>4.011</v>
      </c>
      <c r="K98" s="14" t="n">
        <v>4.011</v>
      </c>
      <c r="L98" s="14" t="n">
        <v>0.807</v>
      </c>
      <c r="M98" s="14" t="n">
        <v>1.861</v>
      </c>
      <c r="N98" s="14" t="n">
        <v>0.689</v>
      </c>
      <c r="O98" s="14" t="n">
        <v>0.874</v>
      </c>
      <c r="P98" s="14" t="n">
        <v>0.35</v>
      </c>
      <c r="Q98" s="14" t="n">
        <v>0.35</v>
      </c>
      <c r="R98" s="14" t="n">
        <v>1</v>
      </c>
      <c r="S98" s="15" t="b">
        <f aca="false">FALSE()</f>
        <v>0</v>
      </c>
      <c r="T98" s="15" t="b">
        <f aca="false">TRUE()</f>
        <v>1</v>
      </c>
      <c r="U98" s="14" t="n">
        <v>1</v>
      </c>
      <c r="V98" s="15" t="b">
        <f aca="false">FALSE()</f>
        <v>0</v>
      </c>
      <c r="W98" s="14" t="s">
        <v>119</v>
      </c>
    </row>
    <row r="99" customFormat="false" ht="15" hidden="false" customHeight="false" outlineLevel="0" collapsed="false">
      <c r="A99" s="4" t="n">
        <v>97</v>
      </c>
      <c r="B99" s="4" t="n">
        <v>0.35</v>
      </c>
      <c r="C99" s="11" t="b">
        <f aca="false">FALSE()</f>
        <v>0</v>
      </c>
      <c r="D99" s="4" t="n">
        <v>2712</v>
      </c>
      <c r="E99" s="4" t="n">
        <v>10681</v>
      </c>
      <c r="F99" s="4" t="n">
        <v>534</v>
      </c>
      <c r="G99" s="4" t="n">
        <v>10.66</v>
      </c>
      <c r="H99" s="4" t="n">
        <v>50.1</v>
      </c>
      <c r="I99" s="4" t="n">
        <v>9.207</v>
      </c>
      <c r="J99" s="4" t="n">
        <v>4.005</v>
      </c>
      <c r="K99" s="4" t="n">
        <v>4.005</v>
      </c>
      <c r="L99" s="4" t="n">
        <v>0.864</v>
      </c>
      <c r="M99" s="4" t="n">
        <v>1.622</v>
      </c>
      <c r="N99" s="4" t="n">
        <v>0.697</v>
      </c>
      <c r="O99" s="4" t="n">
        <v>1.091</v>
      </c>
      <c r="P99" s="4" t="n">
        <v>0.3501</v>
      </c>
      <c r="Q99" s="4" t="n">
        <v>0.3501</v>
      </c>
      <c r="R99" s="4" t="n">
        <v>1</v>
      </c>
      <c r="S99" s="11" t="b">
        <f aca="false">FALSE()</f>
        <v>0</v>
      </c>
      <c r="T99" s="11" t="b">
        <f aca="false">FALSE()</f>
        <v>0</v>
      </c>
      <c r="U99" s="4" t="n">
        <v>0</v>
      </c>
      <c r="V99" s="11" t="b">
        <f aca="false">FALSE()</f>
        <v>0</v>
      </c>
      <c r="W99" s="4" t="s">
        <v>116</v>
      </c>
    </row>
    <row r="100" customFormat="false" ht="15" hidden="false" customHeight="false" outlineLevel="0" collapsed="false">
      <c r="A100" s="14" t="n">
        <v>98</v>
      </c>
      <c r="B100" s="14" t="n">
        <v>0.7</v>
      </c>
      <c r="C100" s="15" t="b">
        <f aca="false">FALSE()</f>
        <v>0</v>
      </c>
      <c r="D100" s="14" t="n">
        <v>3405</v>
      </c>
      <c r="E100" s="14" t="n">
        <v>11276</v>
      </c>
      <c r="F100" s="14" t="n">
        <v>564</v>
      </c>
      <c r="G100" s="14" t="n">
        <v>11.26</v>
      </c>
      <c r="H100" s="14" t="n">
        <v>50.1</v>
      </c>
      <c r="I100" s="14" t="n">
        <v>9.705</v>
      </c>
      <c r="J100" s="14" t="n">
        <v>4.008</v>
      </c>
      <c r="K100" s="14" t="n">
        <v>4.008</v>
      </c>
      <c r="L100" s="14" t="n">
        <v>0.862</v>
      </c>
      <c r="M100" s="14" t="n">
        <v>1.626</v>
      </c>
      <c r="N100" s="14" t="n">
        <v>1.384</v>
      </c>
      <c r="O100" s="14" t="n">
        <v>0.847</v>
      </c>
      <c r="P100" s="14" t="n">
        <v>0.7</v>
      </c>
      <c r="Q100" s="14" t="n">
        <v>0.7</v>
      </c>
      <c r="R100" s="14" t="n">
        <v>1</v>
      </c>
      <c r="S100" s="15" t="b">
        <f aca="false">FALSE()</f>
        <v>0</v>
      </c>
      <c r="T100" s="15" t="b">
        <f aca="false">TRUE()</f>
        <v>1</v>
      </c>
      <c r="U100" s="14" t="n">
        <v>1</v>
      </c>
      <c r="V100" s="15" t="b">
        <f aca="false">FALSE()</f>
        <v>0</v>
      </c>
      <c r="W100" s="14" t="s">
        <v>119</v>
      </c>
    </row>
    <row r="101" customFormat="false" ht="15" hidden="false" customHeight="false" outlineLevel="0" collapsed="false">
      <c r="A101" s="4" t="n">
        <v>99</v>
      </c>
      <c r="B101" s="4" t="n">
        <v>0.7</v>
      </c>
      <c r="C101" s="11" t="b">
        <f aca="false">FALSE()</f>
        <v>0</v>
      </c>
      <c r="D101" s="4" t="n">
        <v>3751</v>
      </c>
      <c r="E101" s="4" t="n">
        <v>11554</v>
      </c>
      <c r="F101" s="4" t="n">
        <v>577</v>
      </c>
      <c r="G101" s="4" t="n">
        <v>11.52</v>
      </c>
      <c r="H101" s="4" t="n">
        <v>50.1</v>
      </c>
      <c r="I101" s="4" t="n">
        <v>8.885</v>
      </c>
      <c r="J101" s="4" t="n">
        <v>3.997</v>
      </c>
      <c r="K101" s="4" t="n">
        <v>3.997</v>
      </c>
      <c r="L101" s="4" t="n">
        <v>0.771</v>
      </c>
      <c r="M101" s="4" t="n">
        <v>1.566</v>
      </c>
      <c r="N101" s="4" t="n">
        <v>1.39</v>
      </c>
      <c r="O101" s="4" t="n">
        <v>0.955</v>
      </c>
      <c r="P101" s="4" t="n">
        <v>0.7</v>
      </c>
      <c r="Q101" s="4" t="n">
        <v>0.7</v>
      </c>
      <c r="R101" s="4" t="n">
        <v>1</v>
      </c>
      <c r="S101" s="11" t="b">
        <f aca="false">FALSE()</f>
        <v>0</v>
      </c>
      <c r="T101" s="11" t="b">
        <f aca="false">FALSE()</f>
        <v>0</v>
      </c>
      <c r="U101" s="4" t="n">
        <v>0</v>
      </c>
      <c r="V101" s="11" t="b">
        <f aca="false">FALSE()</f>
        <v>0</v>
      </c>
      <c r="W101" s="4" t="s">
        <v>116</v>
      </c>
    </row>
    <row r="102" customFormat="false" ht="15" hidden="false" customHeight="false" outlineLevel="0" collapsed="false">
      <c r="A102" s="14" t="n">
        <v>100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5" t="b">
        <f aca="false">FALSE()</f>
        <v>0</v>
      </c>
      <c r="T102" s="15" t="b">
        <f aca="false">TRUE()</f>
        <v>1</v>
      </c>
      <c r="U102" s="14" t="n">
        <v>1</v>
      </c>
      <c r="V102" s="15" t="b">
        <f aca="false">FALSE()</f>
        <v>0</v>
      </c>
      <c r="W102" s="14" t="s">
        <v>123</v>
      </c>
    </row>
    <row r="104" customFormat="false" ht="15" hidden="false" customHeight="false" outlineLevel="0" collapsed="false">
      <c r="A104" s="8" t="s">
        <v>124</v>
      </c>
      <c r="D104" s="8" t="n">
        <f aca="false">AVERAGE(D2:D102)</f>
        <v>2907.39</v>
      </c>
      <c r="E104" s="8" t="n">
        <f aca="false">AVERAGE(E2:E102)</f>
        <v>15327.3737373737</v>
      </c>
      <c r="F104" s="8" t="n">
        <f aca="false">AVERAGE(F2:F102)</f>
        <v>766.363636363636</v>
      </c>
      <c r="G104" s="8" t="n">
        <f aca="false">AVERAGE(G2:G102)</f>
        <v>15.3072525252525</v>
      </c>
      <c r="I104" s="8" t="n">
        <f aca="false">AVERAGE(I2:I102)</f>
        <v>10.4002424242424</v>
      </c>
      <c r="J104" s="8" t="n">
        <f aca="false">AVERAGE(J2:J102)</f>
        <v>4.03053535353535</v>
      </c>
      <c r="L104" s="8" t="n">
        <f aca="false">AVERAGE(L2:L102)</f>
        <v>0.875808080808081</v>
      </c>
      <c r="M104" s="8" t="n">
        <f aca="false">AVERAGE(M2:M102)</f>
        <v>1.89864646464646</v>
      </c>
      <c r="N104" s="8" t="n">
        <f aca="false">AVERAGE(N2:N102)</f>
        <v>1.02774747474747</v>
      </c>
      <c r="O104" s="8" t="n">
        <f aca="false">AVERAGE(O2:O102)</f>
        <v>1.004</v>
      </c>
      <c r="P104" s="8" t="n">
        <f aca="false">AVERAGE(P2:P102)</f>
        <v>0.519679797979798</v>
      </c>
    </row>
    <row r="105" customFormat="false" ht="15" hidden="false" customHeight="false" outlineLevel="0" collapsed="false">
      <c r="A105" s="8" t="s">
        <v>125</v>
      </c>
      <c r="D105" s="8" t="n">
        <f aca="false">MEDIAN(D2:D102)</f>
        <v>2821</v>
      </c>
      <c r="E105" s="8" t="n">
        <f aca="false">MEDIAN(E2:E102)</f>
        <v>10375</v>
      </c>
      <c r="F105" s="8" t="n">
        <f aca="false">MEDIAN(F2:F102)</f>
        <v>519</v>
      </c>
      <c r="G105" s="8" t="n">
        <f aca="false">MEDIAN(G2:G102)</f>
        <v>10.36</v>
      </c>
      <c r="I105" s="8" t="n">
        <f aca="false">MEDIAN(I2:I102)</f>
        <v>9.327</v>
      </c>
      <c r="J105" s="8" t="n">
        <f aca="false">MEDIAN(J2:J102)</f>
        <v>4</v>
      </c>
      <c r="L105" s="8" t="n">
        <f aca="false">MEDIAN(L2:L102)</f>
        <v>0.902</v>
      </c>
      <c r="M105" s="8" t="n">
        <f aca="false">MEDIAN(M2:M102)</f>
        <v>1.78</v>
      </c>
      <c r="N105" s="8" t="n">
        <f aca="false">MEDIAN(N2:N102)</f>
        <v>0.699</v>
      </c>
      <c r="O105" s="8" t="n">
        <f aca="false">MEDIAN(O2:O102)</f>
        <v>0.979</v>
      </c>
      <c r="P105" s="8" t="n">
        <f aca="false">MEDIAN(P2:P102)</f>
        <v>0.3501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3" t="s">
        <v>126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</row>
    <row r="2" customFormat="false" ht="15" hidden="false" customHeight="false" outlineLevel="0" collapsed="false">
      <c r="A2" s="5" t="n">
        <v>490927</v>
      </c>
      <c r="B2" s="5" t="n">
        <v>20</v>
      </c>
      <c r="C2" s="5" t="n">
        <v>0.0208</v>
      </c>
      <c r="D2" s="5" t="n">
        <v>2.08</v>
      </c>
      <c r="E2" s="5" t="s">
        <v>132</v>
      </c>
      <c r="F2" s="5" t="n">
        <v>8.18211666666667</v>
      </c>
    </row>
    <row r="3" customFormat="false" ht="15" hidden="false" customHeight="false" outlineLevel="0" collapsed="false">
      <c r="A3" s="4" t="n">
        <v>746977</v>
      </c>
      <c r="B3" s="4" t="n">
        <v>40</v>
      </c>
      <c r="C3" s="4" t="n">
        <v>0.0201</v>
      </c>
      <c r="D3" s="4" t="n">
        <v>2.01</v>
      </c>
      <c r="E3" s="4" t="s">
        <v>133</v>
      </c>
      <c r="F3" s="4" t="n">
        <v>12.4496166666667</v>
      </c>
    </row>
    <row r="4" customFormat="false" ht="15" hidden="false" customHeight="false" outlineLevel="0" collapsed="false">
      <c r="A4" s="5" t="n">
        <v>1259119</v>
      </c>
      <c r="B4" s="5" t="n">
        <v>74</v>
      </c>
      <c r="C4" s="5" t="n">
        <v>0.0214</v>
      </c>
      <c r="D4" s="5" t="n">
        <v>2.14</v>
      </c>
      <c r="E4" s="5" t="s">
        <v>134</v>
      </c>
      <c r="F4" s="5" t="n">
        <v>20.9853166666667</v>
      </c>
    </row>
    <row r="5" customFormat="false" ht="15" hidden="false" customHeight="false" outlineLevel="0" collapsed="false">
      <c r="A5" s="4" t="n">
        <v>1262174</v>
      </c>
      <c r="B5" s="4" t="n">
        <v>74</v>
      </c>
      <c r="C5" s="4" t="n">
        <v>0.0206</v>
      </c>
      <c r="D5" s="4" t="n">
        <v>2.06</v>
      </c>
      <c r="E5" s="4" t="s">
        <v>135</v>
      </c>
      <c r="F5" s="4" t="n">
        <v>21.0362333333333</v>
      </c>
    </row>
    <row r="6" customFormat="false" ht="15" hidden="false" customHeight="false" outlineLevel="0" collapsed="false">
      <c r="A6" s="5" t="n">
        <v>1278964</v>
      </c>
      <c r="B6" s="5" t="n">
        <v>76</v>
      </c>
      <c r="C6" s="5" t="n">
        <v>0.0211</v>
      </c>
      <c r="D6" s="5" t="n">
        <v>2.11</v>
      </c>
      <c r="E6" s="5" t="s">
        <v>136</v>
      </c>
      <c r="F6" s="5" t="n">
        <v>21.3160666666667</v>
      </c>
    </row>
    <row r="7" customFormat="false" ht="15" hidden="false" customHeight="false" outlineLevel="0" collapsed="false">
      <c r="A7" s="4" t="n">
        <v>1380097</v>
      </c>
      <c r="B7" s="4" t="n">
        <v>82</v>
      </c>
      <c r="C7" s="4" t="n">
        <v>0.0208</v>
      </c>
      <c r="D7" s="4" t="n">
        <v>2.08</v>
      </c>
      <c r="E7" s="4" t="s">
        <v>137</v>
      </c>
      <c r="F7" s="4" t="n">
        <v>23.0016166666667</v>
      </c>
    </row>
    <row r="8" customFormat="false" ht="15" hidden="false" customHeight="false" outlineLevel="0" collapsed="false">
      <c r="A8" s="5" t="n">
        <v>1407537</v>
      </c>
      <c r="B8" s="5" t="n">
        <v>84</v>
      </c>
      <c r="C8" s="5" t="n">
        <v>0.0201</v>
      </c>
      <c r="D8" s="5" t="n">
        <v>2.01</v>
      </c>
      <c r="E8" s="5" t="s">
        <v>138</v>
      </c>
      <c r="F8" s="5" t="n">
        <v>23.45895</v>
      </c>
    </row>
    <row r="9" customFormat="false" ht="15" hidden="false" customHeight="false" outlineLevel="0" collapsed="false">
      <c r="A9" s="4" t="n">
        <v>1444618</v>
      </c>
      <c r="B9" s="4" t="n">
        <v>87</v>
      </c>
      <c r="C9" s="4" t="n">
        <v>0.023</v>
      </c>
      <c r="D9" s="4" t="n">
        <v>2.3</v>
      </c>
      <c r="E9" s="4" t="s">
        <v>139</v>
      </c>
      <c r="F9" s="4" t="n">
        <v>24.0769666666667</v>
      </c>
    </row>
    <row r="10" customFormat="false" ht="15" hidden="false" customHeight="false" outlineLevel="0" collapsed="false">
      <c r="A10" s="5" t="n">
        <v>1449174</v>
      </c>
      <c r="B10" s="5" t="n">
        <v>88</v>
      </c>
      <c r="C10" s="5" t="n">
        <v>0.0211</v>
      </c>
      <c r="D10" s="5" t="n">
        <v>2.11</v>
      </c>
      <c r="E10" s="5" t="s">
        <v>140</v>
      </c>
      <c r="F10" s="5" t="n">
        <v>24.1529</v>
      </c>
    </row>
    <row r="11" customFormat="false" ht="15" hidden="false" customHeight="false" outlineLevel="0" collapsed="false">
      <c r="A11" s="4" t="n">
        <v>1472519</v>
      </c>
      <c r="B11" s="4" t="n">
        <v>90</v>
      </c>
      <c r="C11" s="4" t="n">
        <v>0.0214</v>
      </c>
      <c r="D11" s="4" t="n">
        <v>2.14</v>
      </c>
      <c r="E11" s="4" t="s">
        <v>141</v>
      </c>
      <c r="F11" s="4" t="n">
        <v>24.5419833333333</v>
      </c>
    </row>
    <row r="12" customFormat="false" ht="15" hidden="false" customHeight="false" outlineLevel="0" collapsed="false">
      <c r="A12" s="5" t="n">
        <v>1516224</v>
      </c>
      <c r="B12" s="5" t="n">
        <v>90</v>
      </c>
      <c r="C12" s="5" t="n">
        <v>0.02</v>
      </c>
      <c r="D12" s="5" t="n">
        <v>2</v>
      </c>
      <c r="E12" s="5" t="s">
        <v>142</v>
      </c>
      <c r="F12" s="5" t="n">
        <v>25.2704</v>
      </c>
    </row>
    <row r="13" customFormat="false" ht="15" hidden="false" customHeight="false" outlineLevel="0" collapsed="false">
      <c r="A13" s="4" t="n">
        <v>1517738</v>
      </c>
      <c r="B13" s="4" t="n">
        <v>90</v>
      </c>
      <c r="C13" s="4" t="n">
        <v>0.0201</v>
      </c>
      <c r="D13" s="4" t="n">
        <v>2.01</v>
      </c>
      <c r="E13" s="4" t="s">
        <v>143</v>
      </c>
      <c r="F13" s="4" t="n">
        <v>25.2956333333333</v>
      </c>
    </row>
    <row r="14" customFormat="false" ht="15" hidden="false" customHeight="false" outlineLevel="0" collapsed="false">
      <c r="A14" s="5" t="n">
        <v>1554304</v>
      </c>
      <c r="B14" s="5" t="n">
        <v>93</v>
      </c>
      <c r="C14" s="5" t="n">
        <v>0.0205</v>
      </c>
      <c r="D14" s="5" t="n">
        <v>2.05</v>
      </c>
      <c r="E14" s="5" t="s">
        <v>144</v>
      </c>
      <c r="F14" s="5" t="n">
        <v>25.9050666666667</v>
      </c>
    </row>
    <row r="15" customFormat="false" ht="15" hidden="false" customHeight="false" outlineLevel="0" collapsed="false">
      <c r="A15" s="4" t="n">
        <v>1559902</v>
      </c>
      <c r="B15" s="4" t="n">
        <v>94</v>
      </c>
      <c r="C15" s="4" t="n">
        <v>0.0206</v>
      </c>
      <c r="D15" s="4" t="n">
        <v>2.06</v>
      </c>
      <c r="E15" s="4" t="s">
        <v>145</v>
      </c>
      <c r="F15" s="4" t="n">
        <v>25.9983666666667</v>
      </c>
    </row>
    <row r="16" customFormat="false" ht="15" hidden="false" customHeight="false" outlineLevel="0" collapsed="false">
      <c r="A16" s="5" t="n">
        <v>1582789</v>
      </c>
      <c r="B16" s="5" t="n">
        <v>96</v>
      </c>
      <c r="C16" s="5" t="n">
        <v>0.0203</v>
      </c>
      <c r="D16" s="5" t="n">
        <v>2.03</v>
      </c>
      <c r="E16" s="5" t="s">
        <v>146</v>
      </c>
      <c r="F16" s="5" t="n">
        <v>26.3798166666667</v>
      </c>
    </row>
    <row r="17" customFormat="false" ht="15" hidden="false" customHeight="false" outlineLevel="0" collapsed="false">
      <c r="A17" s="4" t="n">
        <v>1608717</v>
      </c>
      <c r="B17" s="4" t="n">
        <v>98</v>
      </c>
      <c r="C17" s="4" t="n">
        <v>0.0209</v>
      </c>
      <c r="D17" s="4" t="n">
        <v>2.09</v>
      </c>
      <c r="E17" s="4" t="s">
        <v>147</v>
      </c>
      <c r="F17" s="4" t="n">
        <v>26.81195</v>
      </c>
    </row>
    <row r="18" customFormat="false" ht="15" hidden="false" customHeight="false" outlineLevel="0" collapsed="false">
      <c r="A18" s="5" t="n">
        <v>1629521</v>
      </c>
      <c r="B18" s="5" t="n">
        <v>100</v>
      </c>
      <c r="C18" s="5" t="n">
        <v>0.0202</v>
      </c>
      <c r="D18" s="5" t="n">
        <v>2.02</v>
      </c>
      <c r="E18" s="5" t="s">
        <v>148</v>
      </c>
      <c r="F18" s="5" t="n">
        <v>27.1586833333333</v>
      </c>
    </row>
    <row r="20" customFormat="false" ht="15" hidden="false" customHeight="false" outlineLevel="0" collapsed="false">
      <c r="A20" s="8" t="s">
        <v>149</v>
      </c>
    </row>
    <row r="21" customFormat="false" ht="15" hidden="false" customHeight="true" outlineLevel="0" collapsed="false">
      <c r="A21" s="16" t="s">
        <v>150</v>
      </c>
      <c r="B21" s="16"/>
      <c r="C21" s="16"/>
      <c r="D21" s="16"/>
      <c r="E21" s="16"/>
      <c r="F21" s="16"/>
    </row>
    <row r="22" customFormat="false" ht="15" hidden="false" customHeight="true" outlineLevel="0" collapsed="false">
      <c r="A22" s="16" t="s">
        <v>151</v>
      </c>
      <c r="B22" s="16"/>
      <c r="C22" s="16"/>
      <c r="D22" s="16"/>
      <c r="E22" s="16"/>
      <c r="F22" s="16"/>
    </row>
    <row r="23" customFormat="false" ht="15" hidden="false" customHeight="true" outlineLevel="0" collapsed="false">
      <c r="A23" s="16" t="s">
        <v>152</v>
      </c>
      <c r="B23" s="16"/>
      <c r="C23" s="16"/>
      <c r="D23" s="16"/>
      <c r="E23" s="16"/>
      <c r="F23" s="16"/>
    </row>
  </sheetData>
  <mergeCells count="3"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3" t="s">
        <v>153</v>
      </c>
      <c r="B1" s="3" t="s">
        <v>127</v>
      </c>
      <c r="C1" s="3" t="s">
        <v>63</v>
      </c>
      <c r="D1" s="3" t="s">
        <v>131</v>
      </c>
    </row>
    <row r="2" customFormat="false" ht="15" hidden="false" customHeight="false" outlineLevel="0" collapsed="false">
      <c r="A2" s="5" t="n">
        <v>388</v>
      </c>
      <c r="B2" s="5" t="n">
        <v>0</v>
      </c>
      <c r="C2" s="5" t="s">
        <v>81</v>
      </c>
      <c r="D2" s="5" t="n">
        <v>0.01</v>
      </c>
    </row>
    <row r="3" customFormat="false" ht="15" hidden="false" customHeight="false" outlineLevel="0" collapsed="false">
      <c r="A3" s="4" t="n">
        <v>2039</v>
      </c>
      <c r="B3" s="4" t="n">
        <v>0</v>
      </c>
      <c r="C3" s="4" t="s">
        <v>77</v>
      </c>
      <c r="D3" s="4" t="n">
        <v>0.03</v>
      </c>
    </row>
    <row r="4" customFormat="false" ht="15" hidden="false" customHeight="false" outlineLevel="0" collapsed="false">
      <c r="A4" s="5" t="n">
        <v>5142</v>
      </c>
      <c r="B4" s="5" t="n">
        <v>0</v>
      </c>
      <c r="C4" s="5" t="s">
        <v>79</v>
      </c>
      <c r="D4" s="5" t="n">
        <v>0.09</v>
      </c>
    </row>
    <row r="5" customFormat="false" ht="15" hidden="false" customHeight="false" outlineLevel="0" collapsed="false">
      <c r="A5" s="4" t="n">
        <v>102248</v>
      </c>
      <c r="B5" s="4" t="n">
        <v>0</v>
      </c>
      <c r="C5" s="4" t="s">
        <v>87</v>
      </c>
      <c r="D5" s="4" t="n">
        <v>1.7</v>
      </c>
    </row>
    <row r="6" customFormat="false" ht="15" hidden="false" customHeight="false" outlineLevel="0" collapsed="false">
      <c r="A6" s="5" t="n">
        <v>103221</v>
      </c>
      <c r="B6" s="5" t="n">
        <v>0</v>
      </c>
      <c r="C6" s="5" t="s">
        <v>89</v>
      </c>
      <c r="D6" s="5" t="n">
        <v>1.72</v>
      </c>
    </row>
    <row r="7" customFormat="false" ht="15" hidden="false" customHeight="false" outlineLevel="0" collapsed="false">
      <c r="A7" s="4" t="n">
        <v>104262</v>
      </c>
      <c r="B7" s="4" t="n">
        <v>0</v>
      </c>
      <c r="C7" s="4" t="s">
        <v>73</v>
      </c>
      <c r="D7" s="4" t="n">
        <v>1.74</v>
      </c>
    </row>
    <row r="8" customFormat="false" ht="15" hidden="false" customHeight="false" outlineLevel="0" collapsed="false">
      <c r="A8" s="5" t="n">
        <v>187922</v>
      </c>
      <c r="B8" s="5" t="n">
        <v>8</v>
      </c>
      <c r="C8" s="5" t="s">
        <v>75</v>
      </c>
      <c r="D8" s="5" t="n">
        <v>3.13</v>
      </c>
    </row>
    <row r="9" customFormat="false" ht="15" hidden="false" customHeight="false" outlineLevel="0" collapsed="false">
      <c r="A9" s="4" t="n">
        <v>282609</v>
      </c>
      <c r="B9" s="4" t="n">
        <v>8</v>
      </c>
      <c r="C9" s="4" t="s">
        <v>73</v>
      </c>
      <c r="D9" s="4" t="n">
        <v>4.71</v>
      </c>
    </row>
    <row r="10" customFormat="false" ht="15" hidden="false" customHeight="false" outlineLevel="0" collapsed="false">
      <c r="A10" s="5" t="n">
        <v>383003</v>
      </c>
      <c r="B10" s="5" t="n">
        <v>18</v>
      </c>
      <c r="C10" s="5" t="s">
        <v>75</v>
      </c>
      <c r="D10" s="5" t="n">
        <v>6.38</v>
      </c>
    </row>
    <row r="11" customFormat="false" ht="15" hidden="false" customHeight="false" outlineLevel="0" collapsed="false">
      <c r="A11" s="4" t="n">
        <v>465790</v>
      </c>
      <c r="B11" s="4" t="n">
        <v>18</v>
      </c>
      <c r="C11" s="4" t="s">
        <v>73</v>
      </c>
      <c r="D11" s="4" t="n">
        <v>7.76</v>
      </c>
    </row>
    <row r="12" customFormat="false" ht="15" hidden="false" customHeight="false" outlineLevel="0" collapsed="false">
      <c r="A12" s="5" t="n">
        <v>673744</v>
      </c>
      <c r="B12" s="5" t="n">
        <v>40</v>
      </c>
      <c r="C12" s="5" t="s">
        <v>75</v>
      </c>
      <c r="D12" s="5" t="n">
        <v>11.23</v>
      </c>
    </row>
    <row r="13" customFormat="false" ht="15" hidden="false" customHeight="false" outlineLevel="0" collapsed="false">
      <c r="A13" s="4" t="n">
        <v>740199</v>
      </c>
      <c r="B13" s="4" t="n">
        <v>40</v>
      </c>
      <c r="C13" s="4" t="s">
        <v>73</v>
      </c>
      <c r="D13" s="4" t="n">
        <v>12.34</v>
      </c>
    </row>
    <row r="14" customFormat="false" ht="15" hidden="false" customHeight="false" outlineLevel="0" collapsed="false">
      <c r="A14" s="5" t="n">
        <v>846024</v>
      </c>
      <c r="B14" s="5" t="n">
        <v>50</v>
      </c>
      <c r="C14" s="5" t="s">
        <v>75</v>
      </c>
      <c r="D14" s="5" t="n">
        <v>14.1</v>
      </c>
    </row>
    <row r="15" customFormat="false" ht="15" hidden="false" customHeight="false" outlineLevel="0" collapsed="false">
      <c r="A15" s="4" t="n">
        <v>906450</v>
      </c>
      <c r="B15" s="4" t="n">
        <v>50</v>
      </c>
      <c r="C15" s="4" t="s">
        <v>73</v>
      </c>
      <c r="D15" s="4" t="n">
        <v>15.11</v>
      </c>
    </row>
    <row r="16" customFormat="false" ht="15" hidden="false" customHeight="false" outlineLevel="0" collapsed="false">
      <c r="A16" s="5" t="n">
        <v>1009858</v>
      </c>
      <c r="B16" s="5" t="n">
        <v>60</v>
      </c>
      <c r="C16" s="5" t="s">
        <v>75</v>
      </c>
      <c r="D16" s="5" t="n">
        <v>16.83</v>
      </c>
    </row>
    <row r="17" customFormat="false" ht="15" hidden="false" customHeight="false" outlineLevel="0" collapsed="false">
      <c r="A17" s="4" t="n">
        <v>1066701</v>
      </c>
      <c r="B17" s="4" t="n">
        <v>60</v>
      </c>
      <c r="C17" s="4" t="s">
        <v>73</v>
      </c>
      <c r="D17" s="4" t="n">
        <v>17.78</v>
      </c>
    </row>
    <row r="18" customFormat="false" ht="15" hidden="false" customHeight="false" outlineLevel="0" collapsed="false">
      <c r="A18" s="5" t="n">
        <v>1174055</v>
      </c>
      <c r="B18" s="5" t="n">
        <v>70</v>
      </c>
      <c r="C18" s="5" t="s">
        <v>75</v>
      </c>
      <c r="D18" s="5" t="n">
        <v>19.57</v>
      </c>
    </row>
    <row r="19" customFormat="false" ht="15" hidden="false" customHeight="false" outlineLevel="0" collapsed="false">
      <c r="A19" s="4" t="n">
        <v>1220563</v>
      </c>
      <c r="B19" s="4" t="n">
        <v>70</v>
      </c>
      <c r="C19" s="4" t="s">
        <v>73</v>
      </c>
      <c r="D19" s="4" t="n">
        <v>20.34</v>
      </c>
    </row>
    <row r="20" customFormat="false" ht="15" hidden="false" customHeight="false" outlineLevel="0" collapsed="false">
      <c r="A20" s="5" t="n">
        <v>1320377</v>
      </c>
      <c r="B20" s="5" t="n">
        <v>80</v>
      </c>
      <c r="C20" s="5" t="s">
        <v>75</v>
      </c>
      <c r="D20" s="5" t="n">
        <v>22.01</v>
      </c>
    </row>
    <row r="21" customFormat="false" ht="15" hidden="false" customHeight="false" outlineLevel="0" collapsed="false">
      <c r="A21" s="4" t="n">
        <v>1363941</v>
      </c>
      <c r="B21" s="4" t="n">
        <v>80</v>
      </c>
      <c r="C21" s="4" t="s">
        <v>73</v>
      </c>
      <c r="D21" s="4" t="n">
        <v>22.73</v>
      </c>
    </row>
    <row r="22" customFormat="false" ht="15" hidden="false" customHeight="false" outlineLevel="0" collapsed="false">
      <c r="A22" s="5" t="n">
        <v>1473684</v>
      </c>
      <c r="B22" s="5" t="n">
        <v>90</v>
      </c>
      <c r="C22" s="5" t="s">
        <v>75</v>
      </c>
      <c r="D22" s="5" t="n">
        <v>24.56</v>
      </c>
    </row>
    <row r="23" customFormat="false" ht="15" hidden="false" customHeight="false" outlineLevel="0" collapsed="false">
      <c r="A23" s="4" t="n">
        <v>1522360</v>
      </c>
      <c r="B23" s="4" t="n">
        <v>90</v>
      </c>
      <c r="C23" s="4" t="s">
        <v>73</v>
      </c>
      <c r="D23" s="4" t="n">
        <v>25.37</v>
      </c>
    </row>
    <row r="24" customFormat="false" ht="15" hidden="false" customHeight="false" outlineLevel="0" collapsed="false">
      <c r="A24" s="5" t="n">
        <v>1630366</v>
      </c>
      <c r="B24" s="5" t="n">
        <v>100</v>
      </c>
      <c r="C24" s="5" t="s">
        <v>75</v>
      </c>
      <c r="D24" s="5" t="n">
        <v>27.17</v>
      </c>
    </row>
    <row r="25" customFormat="false" ht="15" hidden="false" customHeight="false" outlineLevel="0" collapsed="false">
      <c r="A25" s="4" t="n">
        <v>1684329</v>
      </c>
      <c r="B25" s="4" t="n">
        <v>100</v>
      </c>
      <c r="C25" s="4" t="s">
        <v>77</v>
      </c>
      <c r="D25" s="4" t="n">
        <v>28.07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7.35" hidden="false" customHeight="false" outlineLevel="0" collapsed="false">
      <c r="A1" s="7" t="s">
        <v>154</v>
      </c>
    </row>
    <row r="3" customFormat="false" ht="15" hidden="false" customHeight="false" outlineLevel="0" collapsed="false">
      <c r="A3" s="2" t="s">
        <v>155</v>
      </c>
    </row>
    <row r="25" customFormat="false" ht="15" hidden="false" customHeight="false" outlineLevel="0" collapsed="false">
      <c r="A25" s="2" t="s">
        <v>156</v>
      </c>
    </row>
    <row r="47" customFormat="false" ht="15" hidden="false" customHeight="false" outlineLevel="0" collapsed="false">
      <c r="A47" s="2" t="s">
        <v>157</v>
      </c>
    </row>
    <row r="69" customFormat="false" ht="15" hidden="false" customHeight="false" outlineLevel="0" collapsed="false">
      <c r="A69" s="2" t="s">
        <v>158</v>
      </c>
    </row>
    <row r="91" customFormat="false" ht="15" hidden="false" customHeight="false" outlineLevel="0" collapsed="false">
      <c r="A91" s="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2026-05-20T06:17:04Z</dcterms:created>
  <dc:creator>openpyxl</dc:creator>
  <dc:description/>
  <dc:language>en-US</dc:language>
  <cp:lastModifiedBy/>
  <dcterms:modified xsi:type="dcterms:W3CDTF">2026-05-20T06:17:05Z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